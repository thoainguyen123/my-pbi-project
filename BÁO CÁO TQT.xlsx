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.nguyenthi5\Downloads\"/>
    </mc:Choice>
  </mc:AlternateContent>
  <bookViews>
    <workbookView xWindow="0" yWindow="0" windowWidth="19200" windowHeight="7050" activeTab="1"/>
  </bookViews>
  <sheets>
    <sheet name="Data" sheetId="1" r:id="rId1"/>
    <sheet name="Báo cáo" sheetId="2" r:id="rId2"/>
  </sheets>
  <definedNames>
    <definedName name="_xlnm._FilterDatabase" localSheetId="0" hidden="1">Data!$A$4:$AU$157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C13" i="2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D12" i="2" s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U157" i="1" l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D11" i="2" s="1"/>
  <c r="AU35" i="1"/>
  <c r="AU34" i="1"/>
  <c r="AU33" i="1"/>
  <c r="AU32" i="1"/>
  <c r="AU31" i="1"/>
  <c r="AU30" i="1"/>
  <c r="D8" i="2" s="1"/>
  <c r="AU29" i="1"/>
  <c r="D7" i="2" s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C5" i="2" s="1"/>
  <c r="C12" i="2" l="1"/>
  <c r="D9" i="2"/>
  <c r="D10" i="2"/>
  <c r="C8" i="2"/>
  <c r="D6" i="2"/>
  <c r="C9" i="2"/>
  <c r="C10" i="2"/>
  <c r="C11" i="2"/>
  <c r="C6" i="2"/>
  <c r="D5" i="2"/>
  <c r="C7" i="2"/>
</calcChain>
</file>

<file path=xl/sharedStrings.xml><?xml version="1.0" encoding="utf-8"?>
<sst xmlns="http://schemas.openxmlformats.org/spreadsheetml/2006/main" count="2767" uniqueCount="512">
  <si>
    <t>STT</t>
  </si>
  <si>
    <t>SỐ HĐ SAP/SỐ HĐ CHÍNH</t>
  </si>
  <si>
    <t>SỐ HỢP ĐỒNG CHÍNH</t>
  </si>
  <si>
    <t>SỐ PLHĐ</t>
  </si>
  <si>
    <t>TÊN VIẾT TẮT DỰ ÁN/ĐƠN VỊ</t>
  </si>
  <si>
    <t>KHU VỰC</t>
  </si>
  <si>
    <t>HẠNG MỤC HH-DV</t>
  </si>
  <si>
    <t>NỘI DUNG HỢP ĐỒNG</t>
  </si>
  <si>
    <t>LOẠI HĐ</t>
  </si>
  <si>
    <t>PHÁP NHÂN KÝ HĐ/PLHĐ</t>
  </si>
  <si>
    <t xml:space="preserve">NT/NCC/TV </t>
  </si>
  <si>
    <t>NGÀY BẮT ĐẦU HIỆU LỰC HĐ</t>
  </si>
  <si>
    <t>NGÀY HẾT HẠN THỰC HIỆN HĐ</t>
  </si>
  <si>
    <t>GIÁ TRỊ WORKDONE (CHƯA GỒM VAT)</t>
  </si>
  <si>
    <t>GIÁ TRỊ TẠM ỨNG CHƯA VAT</t>
  </si>
  <si>
    <t>GIÁ TRỊ TẠM ỨNG CÒN LẠI CHƯA KHẤU TRỪ</t>
  </si>
  <si>
    <t>NGÀY KÝ TOC HOẶC BIÊN BẢN BÀN GIAO HÀNG HÓA ĐỢT CUỐI</t>
  </si>
  <si>
    <t>PHÂN KHU (TỔNG)</t>
  </si>
  <si>
    <t>PHÂN KHU (CHI TIẾT)</t>
  </si>
  <si>
    <t>TÌNH TRẠNG QUYẾT TOÁN</t>
  </si>
  <si>
    <t>NGÀY KÝ BIÊN BẢN QUYẾT TOÁN</t>
  </si>
  <si>
    <t>PIC XÂY DỰNG/CUNG ỨNG</t>
  </si>
  <si>
    <t>PIC MEP</t>
  </si>
  <si>
    <t>PIC SITE1</t>
  </si>
  <si>
    <t>PIC SITE2</t>
  </si>
  <si>
    <t>NGÀY MỤC TIÊU</t>
  </si>
  <si>
    <t>LÝ DO KHÔNG ĐẠT</t>
  </si>
  <si>
    <t>PHÂN LOẠI BỘ PHẬN</t>
  </si>
  <si>
    <t>PHÂN LOẠI THEO BỘ MÔN</t>
  </si>
  <si>
    <t>Phân loại ưu tiên</t>
  </si>
  <si>
    <t>KPI QUYẾT TOÁN</t>
  </si>
  <si>
    <t>10/2020/HĐTC/NH1.VT</t>
  </si>
  <si>
    <t>NGÂN HIỆP 1</t>
  </si>
  <si>
    <t>NH1.VT</t>
  </si>
  <si>
    <t>HỒ TRÀM</t>
  </si>
  <si>
    <t>CUNG CẤP, THI CÔNG LẮP ĐẶT HỆ THỐNG HẠ TẦNG KỸ THUẬT CƠ ĐIỆN</t>
  </si>
  <si>
    <t>CÔNG TY CỔ PHẦN ĐỊA ỐC NGÂN HIỆP</t>
  </si>
  <si>
    <t>CÔNG TY CỔ PHẦN TẬP ĐOÀN ĐẦU TƯ -THƯƠNG MẠI VÀ XÂY DỰNG VÂN KHÁNH</t>
  </si>
  <si>
    <t xml:space="preserve"> -   </t>
  </si>
  <si>
    <t>WONDERLAND</t>
  </si>
  <si>
    <t>Hoàn Thành</t>
  </si>
  <si>
    <t>NT chưa nộp HSQT</t>
  </si>
  <si>
    <t>Vũ Cao Cường</t>
  </si>
  <si>
    <t>QSD</t>
  </si>
  <si>
    <t>13/2021/HĐTC/NWH-MKB.BR</t>
  </si>
  <si>
    <t>BÌNH AN</t>
  </si>
  <si>
    <t>NWH-MKB.BR</t>
  </si>
  <si>
    <t>THI CÔNG HTKT HT CẤP ĐIỆN, CS, TTLL, CAMERA, BÁO CHÁY, CHỐNG SÉT,CN&amp;CC KHU BIỂN</t>
  </si>
  <si>
    <t>CÔNG TY TNHH DU LỊCH BÌNH AN</t>
  </si>
  <si>
    <t>CÔNG TY TNHH KỸ THUẬT VIỆT THÁI THỊNH</t>
  </si>
  <si>
    <t>Dở dang -&gt; QT</t>
  </si>
  <si>
    <t>095/2022/HĐTC/NVW.HT-TFC</t>
  </si>
  <si>
    <t>NovaWorld Hồ Tràm - The Tropicana</t>
  </si>
  <si>
    <t>NVW.HT</t>
  </si>
  <si>
    <t>CUNG CẤP, THI CÔNG VÀ BẢO TRÌ HỆ THỐNG IT CHO KHU KHÁCH SẠN MGALLERY, 17 CĂN VIL</t>
  </si>
  <si>
    <t>CÔNG TY TNHH THE FOREST CITY</t>
  </si>
  <si>
    <t>CÔNG TY TNHH HỆ THỐNG THÔNG TIN FPT</t>
  </si>
  <si>
    <t xml:space="preserve">-   </t>
  </si>
  <si>
    <t>NT đang hoàn tất HSQT</t>
  </si>
  <si>
    <t>48/2021/HĐTC/NVW.HT-TFC</t>
  </si>
  <si>
    <t>CUNG CẤP LẮP ĐẶT HỆ THỐNG XLNT</t>
  </si>
  <si>
    <t>CÔNG TY CỔ PHẦN CẢI TIẾN XANH</t>
  </si>
  <si>
    <t>Nhà thầu chưa trình hồ sơ</t>
  </si>
  <si>
    <t>04/2021/HĐTC/NWH-KGA.BR</t>
  </si>
  <si>
    <t>HOÀN VŨ</t>
  </si>
  <si>
    <t>NWH-KGA.BR</t>
  </si>
  <si>
    <t>THI CÔNG KẾT CẤU, HOÀN THIỆN THÔ VÀ CƠ ĐIỆN CHO 99 CĂN TOWNHOUSE, SHOPHOUSE, SIN</t>
  </si>
  <si>
    <t>CÔNG TY CỔ PHẦN HOÀN VŨ</t>
  </si>
  <si>
    <t>CÔNG TY CỔ PHẦN GREEN MARK CONSTRUCTION</t>
  </si>
  <si>
    <t>PAS đang kiểm</t>
  </si>
  <si>
    <t>Phạm Thị Thanh Thủy</t>
  </si>
  <si>
    <t>54/2021/HĐTC/NVW.HT-TFC</t>
  </si>
  <si>
    <t>CUNG CẤP LẮP ĐẶT HỆ THỐNG HTKT CƠ ĐIỆN CHO KHU 456</t>
  </si>
  <si>
    <t>CÔNG TY CỔ PHẦN ĐẦU TƯ XÂY DỰNG VÀ PHÁT TRIỂN CÔNG NGHỆ 79</t>
  </si>
  <si>
    <t>13/2021/HĐTC/NWH-KGA.BR</t>
  </si>
  <si>
    <t>THI CÔNG HTKT HT CẤP ĐIỆN, CS, TTLL, CAMERA, BÁO CHÁY, CHỐNG SÉT, CN&amp;CC KHU BIỂN</t>
  </si>
  <si>
    <t>003/2022/HĐTC/NWH-BCO.BR</t>
  </si>
  <si>
    <t>SUỐI NƯỚC NÓNG BÌNH CHÂU</t>
  </si>
  <si>
    <t>SNN.BC</t>
  </si>
  <si>
    <t>THI CÔNG HẠ TẦNG KỸ THUẬT HỆ THỐNG ĐIỆN, ĐIỆN NHẸ, CẤP NƯỚC VÀ CHỮA CHÁY</t>
  </si>
  <si>
    <t>CÔNG TY CỔ PHẦN DU LỊCH SÀI GÒN- BÌNH CHÂU</t>
  </si>
  <si>
    <t>NWH-BCO.BR_DB_003_NOITHATNL_VANKHANH</t>
  </si>
  <si>
    <t>Thi công MEP trong nhà và hệ thống PCCC khu F.E.C</t>
  </si>
  <si>
    <t>Đang thực hiện</t>
  </si>
  <si>
    <t>01/2019/HĐTV/NVW.HT</t>
  </si>
  <si>
    <t>Dự toán ngân sách cho dự án ở giai đoạn thiết kế cơ sở hoặc ý tưởng cho các mẫu</t>
  </si>
  <si>
    <t>THE FOREST CITY</t>
  </si>
  <si>
    <t>CÔNG TY TRÁCH NHIỆM HỮU HẠN IPSC</t>
  </si>
  <si>
    <t>Đã quyết toán</t>
  </si>
  <si>
    <t>02/2019/HĐTV/NVW.HT</t>
  </si>
  <si>
    <t>Hợp đồng dịch vụ tư vấn lập dự toán ngân sách cho hạng mục mẫu nhà</t>
  </si>
  <si>
    <t>CÔNG TY TNHH VINAQS</t>
  </si>
  <si>
    <t>08/2019/HĐTC/NVW.HT</t>
  </si>
  <si>
    <t>THI CÔNG SAN LẤP KHU VỰC ƯU TIÊN (KHU VỰC BIỂN)</t>
  </si>
  <si>
    <t>CÔNG TY TNHH SƠN TRÌNH</t>
  </si>
  <si>
    <t>11/2019/HĐTC/NVW.HT</t>
  </si>
  <si>
    <t>THI CÔNG KẾT CẤU, HOÀN THIỆN THÔ VÀ CƠ ĐIỆN CHO 10 CĂN SHOPHOUSE (5 CĂN MẪU TROP</t>
  </si>
  <si>
    <t>CÔNG TY TNHH XÂY DỰNG VÀ THƯƠNG MẠI THIÊN MINH LONG</t>
  </si>
  <si>
    <t>Hồ Sĩ Trúc</t>
  </si>
  <si>
    <t>12/2020/HĐTC/NVW.HT</t>
  </si>
  <si>
    <t>THI CÔNG SAN NỀN TOÀN DỰ ÁN (TRỪ GIAI ĐOẠN 1 ĐÃ TRIỂN KHAI)</t>
  </si>
  <si>
    <t>13/2019/HĐTKTC/NVW.HT</t>
  </si>
  <si>
    <t>Thiết kế, cung cấp, lắp đặt và thi công hồ bơi nước mặn</t>
  </si>
  <si>
    <t>CÔNG TY TNHH THIẾT KẾ - XÂY DỰNG - THƯƠNG MẠI PHONG PHÚ A</t>
  </si>
  <si>
    <t>15/2020/HĐTC</t>
  </si>
  <si>
    <t>Khảo sát, thiết kế, cung cấp, thi công lắp đặt, nghiệm thu và bàn giao đưa vào s</t>
  </si>
  <si>
    <t>CÔNG TY CỔ PHẦN CẤP NƯỚC BÀ RỊA – VŨNG TÀU</t>
  </si>
  <si>
    <t>14/2020/HĐTC/NVW.HT</t>
  </si>
  <si>
    <t>Thi Công Kết Cấu, Hoàn Thiện Thô Và Cơ Điện Cho 37 Căn Villa</t>
  </si>
  <si>
    <t>CÔNG TY CỔ PHẦN TÂN BÌNH</t>
  </si>
  <si>
    <t>15/2020/HĐTC/NVW.HT</t>
  </si>
  <si>
    <t>Đê bao san lấp chống xâm thực ranh đất</t>
  </si>
  <si>
    <t>CÔNG TY TNHH HẠ TẦNG XÂY DỰNG ĐẠI NAM</t>
  </si>
  <si>
    <t>DỰ ÁN</t>
  </si>
  <si>
    <t>TỔNG GIÁ TRỊ HĐ BAO GỒM PHÁT SINH CHƯA VATM VAT)</t>
  </si>
  <si>
    <t>THUẾ VAT</t>
  </si>
  <si>
    <t>KHẤU TRỪ TẠM ỨNG</t>
  </si>
  <si>
    <t>TÌNH TRẠNG THI CÔNG / THỰC HIỆN</t>
  </si>
  <si>
    <t>23/2020/HĐTC/AQC.DN 112ha</t>
  </si>
  <si>
    <t>AQUA 112HA</t>
  </si>
  <si>
    <t>AQC112.DN</t>
  </si>
  <si>
    <t>ĐỒNG NAI</t>
  </si>
  <si>
    <t>Hạ Tầng Kỹ Thuật Hệ Thống Điện, Điện Nhẹ, cấp nước sinh hoạt và cấp nước chữa  c</t>
  </si>
  <si>
    <t>CÔNG TY TNHH THÀNH PHỐ AQUA</t>
  </si>
  <si>
    <t>Trần Xuân Hòa</t>
  </si>
  <si>
    <t>BMD</t>
  </si>
  <si>
    <t>MEP</t>
  </si>
  <si>
    <t>Ưu tiên 1</t>
  </si>
  <si>
    <t>KPI 2026</t>
  </si>
  <si>
    <t>33/2020/HĐTC/AQC.DN 112ha</t>
  </si>
  <si>
    <t>Thi công Hạ tầng kỹ thuật dọc Hương lộ 2, Đường số 1 và Đường số 2</t>
  </si>
  <si>
    <t>Duy Phương</t>
  </si>
  <si>
    <t>XD</t>
  </si>
  <si>
    <t>35/2020/HĐTC/AQC.DN 112ha</t>
  </si>
  <si>
    <t>THI CÔNG HẠ TẦNG KỸ THUẬT KHU A3&amp;A2b&amp;A2a</t>
  </si>
  <si>
    <t>Aqua 1</t>
  </si>
  <si>
    <t>Hữu Tân</t>
  </si>
  <si>
    <t>50/2021/HĐTC/AQC-SH2.DN-112-A1</t>
  </si>
  <si>
    <t>CUNG CẤP VÀ LẮP ĐẶT HỆ THỐNG CƠ ĐIỆN, PCCC, LPG CHO TRUNG TÂM THƯƠNG MẠI</t>
  </si>
  <si>
    <t>Ngọc Thiên</t>
  </si>
  <si>
    <t>Ưu tiên 3</t>
  </si>
  <si>
    <t>53/2021/HĐTC/AQC-SH2.DN-112-A1</t>
  </si>
  <si>
    <t>THI CÔNG XÂY DỰNG, HOÀN THIỆN THÔ VÀ MEP CHO 165 CĂN  THUỘC KHU A1A.2</t>
  </si>
  <si>
    <t>Văn Hảo</t>
  </si>
  <si>
    <t>XD&amp;MEP</t>
  </si>
  <si>
    <t>Ưu tiên 2</t>
  </si>
  <si>
    <t>59/2021/HĐTC/AQC.DN 112ha</t>
  </si>
  <si>
    <t>THI CÔNG BÓ VỈA, VỈA HÈ TRỤC ĐƯỜNG HƯƠNG LỘ 2, ĐƯỜNG SỐ 1 VÀ SỐ 2</t>
  </si>
  <si>
    <t>CHI NHÁNH CÔNG TY TNHH MTV TỔNG CÔNG TY THÁI SƠN - CÔNG TY XÂY LẮP 394</t>
  </si>
  <si>
    <t>Chiến dịch 90 ngày</t>
  </si>
  <si>
    <t>60/2021/AQC-SH2.DN-112-A1</t>
  </si>
  <si>
    <t>HĐ MUA BÁN CỌC BTLT DỰ ỨNG LỰC</t>
  </si>
  <si>
    <t>CÔNG TY TNHH BÊ TÔNG TIỀN PHONG</t>
  </si>
  <si>
    <t>Hủy hợp đồng</t>
  </si>
  <si>
    <t>Tô Xuân Diếu</t>
  </si>
  <si>
    <t>Thanh lý</t>
  </si>
  <si>
    <t>64/2021/HĐTC/AQC-SH2.DN-112-A1</t>
  </si>
  <si>
    <t>CUNG CẤP VÀ THI CÔNG LẮP ĐẶT KIM LOẠI CHO 93 CĂN KHU A1A.1 VÀ 165 CĂN A1A.2</t>
  </si>
  <si>
    <t>CÔNG TY TNHH XÂY DỰNG HÀNG RÀO BIỆT THỰ</t>
  </si>
  <si>
    <t>68/2021/HĐTC/AQC-SH2.DN-112-A1</t>
  </si>
  <si>
    <t>Cung Cấp Và Thi Công Nhôm Kính Cho 225 Căn Thuộc Khu A1a.3</t>
  </si>
  <si>
    <t>CÔNG TY CỔ PHẦN XÂY DỰNG HÀ NỘI CPM</t>
  </si>
  <si>
    <t>Duy Phương*</t>
  </si>
  <si>
    <t>73/2021/HĐTC/AQC-SH2.DN-112HA-A1</t>
  </si>
  <si>
    <t>CUNG CẤP VÀ LẮP ĐẶT HỆ THỐNG ĐIỆN HẠ TẦNG KỸ THUẬT-GIAI ĐOẠN 2</t>
  </si>
  <si>
    <t>CÔNG TY TNHH THƯƠNG MẠI DỊCH VỤ KỸ THUẬT G.P.L</t>
  </si>
  <si>
    <t>65/2021/HĐTC/AQC-SH2.DN-112-A1</t>
  </si>
  <si>
    <t>CUNG CẤP VÀ THI CÔNG LẮP ĐẶT LAN CAN KÈ PHÂN KHU A1a; A4</t>
  </si>
  <si>
    <t>CÔNG TY TNHH TM DV ĐỨC LẬP</t>
  </si>
  <si>
    <t>63/2021/HĐTC/AQC-SH2.DN-112-A1</t>
  </si>
  <si>
    <t>CUNG CẤP, THI CÔNG LẮP ĐẶT KIM LOẠI CHO 225 CĂN THUỘC KHU A1a.3</t>
  </si>
  <si>
    <t>Đang trình EA, QT theo WD gần nhất</t>
  </si>
  <si>
    <t>62/2021/HĐTC/AQC-SH2.DN-112-A1</t>
  </si>
  <si>
    <t>CUNG CẤP, THI CÔNG LẮP ĐẶT KIM LOẠI CHO 171 CĂN THUỘC KHU A4</t>
  </si>
  <si>
    <t>55/2021/HĐTC/AQC-SH2 DN-112-A1</t>
  </si>
  <si>
    <t>CUNG CẤP VÀ THI CÔNG LẮP ĐẶT NHÔM KÍNH TRUNG TÂM THƯƠNG MẠI</t>
  </si>
  <si>
    <t>CÔNG TY CỔ PHẦN THƯƠNG MẠI DỊCH VỤ XÂY DỰNG E&amp;C</t>
  </si>
  <si>
    <t>088/2022/HĐTC/AQC-SH2.DN-112-A1</t>
  </si>
  <si>
    <t>THI CÔNG THẢM BÊ TÔNG NHỰA VÀ SƠN ĐƯỜNG KHU A1a VÀ A4</t>
  </si>
  <si>
    <t>CÔNG TY CỔ PHẦN ĐẦU TƯ XÂY DỰNG THƯƠNG MẠI SIC</t>
  </si>
  <si>
    <t>090/2022/HDTC/AQC-SH2.DN-112-A1</t>
  </si>
  <si>
    <t>THI CÔNG KC, HT, MEP HARDSCAPE CÔNG VIÊN KHU A1.A CÒN LẠI, A1B, MARINA KHU A2.A</t>
  </si>
  <si>
    <t>Xuân Hòa</t>
  </si>
  <si>
    <t>093/2022/HĐTC/AQC-SH2.DN-112-A1</t>
  </si>
  <si>
    <t>CUNG CÂP VÀ THI CÔNG NHÔM KÍNH CHO 419 CAN NHÀ THÂP TÂNG</t>
  </si>
  <si>
    <t>101/2022/HĐTC/AQC-SH2.DN-112-A1</t>
  </si>
  <si>
    <t>CUNG CẤP VÀ THI CÔNG LẮP ĐẶT KIM LOẠI CHO 109 CĂN NHÀ Ở THẤP TẦNG KHU A2b1 VÀ 23</t>
  </si>
  <si>
    <t>CÔNG TY TNHH THUẬN THẮNG</t>
  </si>
  <si>
    <t>114/2024/HĐTC/AQC-SH2.DN-112-A1</t>
  </si>
  <si>
    <t>THI CÔNG HỆ THỐNG ĐIỆN TRUNG THẾ</t>
  </si>
  <si>
    <t>CÔNG TY TNHH XÂY LẮP ĐIÊN THƯƠNG MẠI HỢP TIẾN</t>
  </si>
  <si>
    <t>119/2024/HĐTC/AQC-SH2.DN-112-A1</t>
  </si>
  <si>
    <t>THI CÔNG BÊ TÔNG NHỰA, SƠN ĐƯỜNG KHU A2a &amp; KHU PHỐ MẪU A1a</t>
  </si>
  <si>
    <t>04/2020/HĐTC/AQC.DN 81HA</t>
  </si>
  <si>
    <t>AQUA 81HA</t>
  </si>
  <si>
    <t>AQC81.DN</t>
  </si>
  <si>
    <t>Hạ tầng kỹ thuật (cấp điện, chiếu sáng, viễn thông, cấp nước và phòng cháy chữa</t>
  </si>
  <si>
    <t>CÔNG TY TNHH ĐẦU TƯ BẤT ĐỘNG SẢN LONG HƯNG PHÁT</t>
  </si>
  <si>
    <t>CÔNG TY CỔ PHẦN CƠ ĐIỆN MINH QUANG</t>
  </si>
  <si>
    <t>09/2020/HĐTC/AQC.DN 81ha</t>
  </si>
  <si>
    <t>Cung Cấp và Thi Công Kim Loại Hardscape</t>
  </si>
  <si>
    <t>Chưa ưu tiên</t>
  </si>
  <si>
    <t>10/2020/HĐTC/AQC.DN 81ha</t>
  </si>
  <si>
    <t>Thi công Hạ tầng kỹ thuật Hardscape trục cảnh quan và Quảng trường</t>
  </si>
  <si>
    <t>CÔNG TY CỔ PHẦN TƯ VẤN XÂY DỰNG CÔNG TRÌNH NGẦM ĐÔ THỊ</t>
  </si>
  <si>
    <t>16/2020/HĐTC/AQC.DN 81ha</t>
  </si>
  <si>
    <t>CÔNG TY TNHH XÂY DỰNG CÔNG TRÌNH HÙNG VƯƠNG</t>
  </si>
  <si>
    <t>AQUA RIVERSIDE CITY- GD1</t>
  </si>
  <si>
    <t>TIẾN ĐỘ THỰC HIỆN HĐ (ngày)</t>
  </si>
  <si>
    <t>GIÁ TRỊ HỢP ĐỒNG (CHƯA GỒM VAT)</t>
  </si>
  <si>
    <t>GIÁ TRỊ ĐIỀU CHỈNH/PHÁT SINH (CHƯA GỒM VAT)</t>
  </si>
  <si>
    <t>GIÁ TRỊ HĐ+PS (GỒM VAT)</t>
  </si>
  <si>
    <t>GIÁ TRỊ WORKDONE (GỒM VAT)</t>
  </si>
  <si>
    <t>GIÁ TRỊ HĐ CHƯA THỰC HIỆN (GỒM VAT)</t>
  </si>
  <si>
    <t>GIÁ TRỊ CÔNG NỢ ĐÃ CÓ CPC GỒM ỨNG +WORKDONE (GỒM VAT)</t>
  </si>
  <si>
    <t>GIÁ TRỊ ĐÃ THANH TOÁN (GỒM VAT)</t>
  </si>
  <si>
    <t>GIÁ TRỊ TĐSP (GỒM VAT)</t>
  </si>
  <si>
    <t>GIÁ TRỊ CÔNG NỢ CHƯA THANH TOÁN (GỒM VAT)</t>
  </si>
  <si>
    <t>18/2020/HĐTC/NVW.HT</t>
  </si>
  <si>
    <t>Cung cấp và thi công nhôm kính, kim loại cho 12 căn Shophouse và 2 căn Biệt thự</t>
  </si>
  <si>
    <t>CÔNG TY TNHH WEATHER SAFE WINDOWS</t>
  </si>
  <si>
    <t>09/2019/HĐTC/NVW.HT</t>
  </si>
  <si>
    <t>Khảo sát, thiết kế, cung cấp lắp đặt hệ thống điện trung thế và di dời trạm biến</t>
  </si>
  <si>
    <t>CTY TNHH XÂY LẮP ĐIỆN HƯNG THỊNH PHÁT</t>
  </si>
  <si>
    <t>07/2019/PO/NVW.HT</t>
  </si>
  <si>
    <t>Kiểm tra tình trạng máy biến thế hiện hữu 400kVA và sửa chữa, đóng điện, lắp đặt</t>
  </si>
  <si>
    <t>27/2020/HĐTC/NVW.HT</t>
  </si>
  <si>
    <t>Thi Công Kết Cấu, Hoàn Thiện Thô và Cơ Điện Cho Cổng Chào Công Viên Tiki Park</t>
  </si>
  <si>
    <t>CÔNG TY TNHH ĐT XD &amp; TMDV TUẤN PHÁT</t>
  </si>
  <si>
    <t>20/2020/HĐTC/NVW.HT</t>
  </si>
  <si>
    <t>CUNG CẤP VÀ THI CÔNG NHÔM KÍNH, KIM LOẠI CHO 37 CĂN VILLA</t>
  </si>
  <si>
    <t>17/2020/HĐTC/NVW.HT</t>
  </si>
  <si>
    <t>Cung cấp và thi công lắp đặt hai trạm biến áp 400KVA tạm phục vụ thi công khu bi</t>
  </si>
  <si>
    <t>CÔNG TY TNHH XÂY DỰNG THƯƠNG MẠI ĐIỆN MINH PHÁT</t>
  </si>
  <si>
    <t>24/2020/HĐTC/NVW.HT</t>
  </si>
  <si>
    <t>Cung cấp cọc thử cho khách sạn Babylon</t>
  </si>
  <si>
    <t>CÔNG TY CỔ PHẦN ĐẦU TƯ PHAN VŨ</t>
  </si>
  <si>
    <t>23/2020/HĐTC/NVW.HT</t>
  </si>
  <si>
    <t>Thi công kết cấu, hoàn thiện thô và cơ điện cho khu vực 04 (59 căn Shophouse loạ</t>
  </si>
  <si>
    <t>CÔNG TY TNHH ĐẦU TƯ ASP VIỆT NAM</t>
  </si>
  <si>
    <t>22/2020/HĐTC/NVW.HT</t>
  </si>
  <si>
    <t>Thi công kết cấu, hoàn thiện thô và cơ điện cho khu vực 01 (21 căn Villas:01 căn</t>
  </si>
  <si>
    <t>19/2020/HĐTC/NVW.HT</t>
  </si>
  <si>
    <t>Giao thông, thoát nước mưa, kênh và hồ</t>
  </si>
  <si>
    <t>CÔNG TY CP XÂY DỰNG VÀ PHÁT TRIỂN ĐÔ THỊ TỈNH BÀ RỊA VŨNG TÀU</t>
  </si>
  <si>
    <t>21/2020/HĐTC/NVW.HT</t>
  </si>
  <si>
    <t>Thi Công Kết Cấu, Hoàn Thiện Thô Và Cơ Điện Cho Khu Vực 02 (32 Căn Villas :28 Că</t>
  </si>
  <si>
    <t>CÔNG TY CỔ PHẦN ĐẦU TƯ XÂY DỰNG CÁT LINH</t>
  </si>
  <si>
    <t>40/2021/HĐTC/NVW.HT-TFC</t>
  </si>
  <si>
    <t>THI CÔNG HTKT KHU 4,5,6 &amp; HTKT KHU TIKI PARK</t>
  </si>
  <si>
    <t>38/2020/HĐTC/NVW.HT-TFC</t>
  </si>
  <si>
    <t>THI CÔNG CÁP DỰ ỨNG LỰC CHO KHÁCH SẠN BABYLON</t>
  </si>
  <si>
    <t>CÔNG TY TNHH VSL VIỆT NAM</t>
  </si>
  <si>
    <t>39/2021/HĐTC/NVW.HT-TFC</t>
  </si>
  <si>
    <t>GIAO THÔNG, THOÁT NƯỚC MƯA, KÊNH, HỒ VÀ CẦU</t>
  </si>
  <si>
    <t>28/2020/HĐTC/NVW.HT</t>
  </si>
  <si>
    <t>Thi công đào đất, Bê tông lót cho hồ nước khu Tiki Park</t>
  </si>
  <si>
    <t>CÔNG TY TNHH VẬN TẢI ĐẠI NAM</t>
  </si>
  <si>
    <t>44/2021/HĐTC/NVW.HT-TFC</t>
  </si>
  <si>
    <t>THI CÔNG KC, HT THÔ VÀ CƠ ĐIỆN CHO 59 CĂN SHOPHOUSE LOẠI T</t>
  </si>
  <si>
    <t>47/2021/HĐTC/NVW.HT-TFC</t>
  </si>
  <si>
    <t>CUNG CẤP THI CÔNG LẮP ĐẶT HỆ THỐNG CƠ ĐIỆN VÀ HTKT CƠ ĐIỆN CHO TOÀN KHU TIKI PAR</t>
  </si>
  <si>
    <t>25/2020/HĐTC/NVW.HT</t>
  </si>
  <si>
    <t>Thi công Kết cấu, Hoàn thiện và lắp đặt công nghệ nước cho Hồ bơi Khu Tiki Park</t>
  </si>
  <si>
    <t>42/2021/HĐTC/NVW.HT-TFC</t>
  </si>
  <si>
    <t>Tổng thầu thi công khu khách sạn nghỉ dưỡng (HOTEL HO TRAM - MGALLERY)</t>
  </si>
  <si>
    <t>CÔNG TY CỔ PHẦN ĐẦU TƯ XÂY DỰNG RICONS</t>
  </si>
  <si>
    <t>26/2020/HĐTC/NVW.HT</t>
  </si>
  <si>
    <t>CUNG CẤP VÀ LẮP ĐẶT HỆ THỐNG CƠ ĐIỆN HẠ TẦNG KỸ THUẬT CHO KHU 1, KHU 2, KHU 3</t>
  </si>
  <si>
    <t>CÔNG TY CỔ PHẦN CƠ ĐIỆN LẠNH SEARETECH</t>
  </si>
  <si>
    <t>33/2020/HĐTC/NVW.HT</t>
  </si>
  <si>
    <t>THI CÔNG CỌC ĐẠI TRÀ PHC D400 LOẠI A, THEO PP DTH CHO CÔNG TRÌNH NHÀ HÀNG CÁ MẬP</t>
  </si>
  <si>
    <t>49/2021/HĐTC/NVW.HT-TFC</t>
  </si>
  <si>
    <t>CUNG CẤP VÀ THI CÔNG NHÔM KÍNH CHO 184 CĂN, KIDCLUB-GYM, BOH, NHÀ HÀNG CÁ MẬP</t>
  </si>
  <si>
    <t>CÔNG TY CỔ PHẦN GLOBE BUILD</t>
  </si>
  <si>
    <t>Mạnh Thông</t>
  </si>
  <si>
    <t>16/2020/HĐTC/NVW.HT</t>
  </si>
  <si>
    <t>Thi công cọc đại trà cho khách sạn Babylon</t>
  </si>
  <si>
    <t>29/2020/HĐTC/NVW.HT</t>
  </si>
  <si>
    <t>Thi công cải tạo, nâng cấp, mở rộng tuyến đường ven biển đoạn qua khu du lịch ng</t>
  </si>
  <si>
    <t>CÔNG TY TNHH ĐẦU TƯ XÂY DỰNG-THƯƠNG MẠI HOÀNG GIA</t>
  </si>
  <si>
    <t>37/2021/HĐTC/NVW.HT-TFC</t>
  </si>
  <si>
    <t>Thi công toàn bộ kết cấu bê tông cốt thép, kết cấu thép và hoàn thiện cơ bản "Kh</t>
  </si>
  <si>
    <t>34/2020/HĐTC/NVW.HT</t>
  </si>
  <si>
    <t>CUNG CẤP VÀ THI CÔNG NHÔM KÍNH KIM LOẠI CHO 57 CĂN SHOPHOUSE KHU BIỂN</t>
  </si>
  <si>
    <t>31/2020/HĐTC/NVW.HT</t>
  </si>
  <si>
    <t>KHẢO SÁT, THIẾT KẾ, THỎA THUẬN, XIN PHÉP, DI DỜI VÀ NGẦM HÓA LƯỚI ĐIỆN TRUNG HẠ</t>
  </si>
  <si>
    <t>CÔNG TY TNHH XD TM ĐIỆN QUANG PHÁT</t>
  </si>
  <si>
    <t>43/2021/HĐTC/NVW.HT-TFC</t>
  </si>
  <si>
    <t>THI CÔNG KC, HT &amp; MEP CHO WELCOME CENTER, KIDCLUB, GYM, BOH VÀ 101 VILLA</t>
  </si>
  <si>
    <t>56/2021/HĐTC/NVW.HT-TFC</t>
  </si>
  <si>
    <t>CUNG CẤP VÀ THI CÔNG KIM LOẠI CHO 114 CĂN VILLA KHU ĐỒI (KHU 3)</t>
  </si>
  <si>
    <t>63/2021/HĐTC/NVW.HT-TFC</t>
  </si>
  <si>
    <t>CUNG CẤP VÀ THI CÔNG KIM LOẠI CHO 125 CĂN NHÀ THẤP TẦNG (101 CĂN VILLA KHU BIỂN,</t>
  </si>
  <si>
    <t>60/2020/HĐTC/NVW.HT-TFC</t>
  </si>
  <si>
    <t>THI CÔNG TƯỜNG CHẮN KHU ĐỒI; BỂ  NGẦM PCCC, NHÀ TRẠM BƠM</t>
  </si>
  <si>
    <t>50/2021/HĐTC/NVW.HT-TFC</t>
  </si>
  <si>
    <t>THI CÔNG XÂY DỰNG, HOÀN THIỆN THÔ VÀ MEP CHO 115 CĂN KHU 3 (D,E) VÀ 5 CĂN MOCKUP</t>
  </si>
  <si>
    <t>45/2021/HĐTC/NVW.HT-TFC</t>
  </si>
  <si>
    <t>CUNG CẤP LẮP ĐẶT HỆ THỐNG CƠ ĐIỆN CHO WELCOME CENTER VÀ CÁC KHU PHỤ TRỢ</t>
  </si>
  <si>
    <t>CÔNG TY CỔ PHẦN XÂY LẮP KỸ THUẬT VIỆT</t>
  </si>
  <si>
    <t>64/2021/HĐTC/NVW.HT-TFC</t>
  </si>
  <si>
    <t>THI CÔNG XÂY DỰNG, HOÀN THIỆN THÔ VÀ MEP CHO 149 CĂN THUỘC KHU 3 (A,B,C)</t>
  </si>
  <si>
    <t>CÔNG TY CP TẬP ĐOÀN XÂY DỰNG HÒA BÌNH</t>
  </si>
  <si>
    <t>Đang dừng / chờ</t>
  </si>
  <si>
    <t>52/2021/HĐTC/NVW.HT-TFC</t>
  </si>
  <si>
    <t>THI CÔNG SAN LẤP MẶT BẰNG CHO CÔNG VIÊN TROPICANA PARK GIAI ĐOẠN 2</t>
  </si>
  <si>
    <t>CÔNG TY TNHH MTV VẬN TẢI TRẦN GIA PHÚ</t>
  </si>
  <si>
    <t>46/2021/HĐTC/NVW.HT-TFC</t>
  </si>
  <si>
    <t>thi công  KC, HT &amp; MEP cho 24 mockup villa khu lagoon và 5 villa khu 3</t>
  </si>
  <si>
    <t>30/2020/HĐTC/NVW.HT</t>
  </si>
  <si>
    <t>Thi công 02 cọc thí nghiệm D400 - Nhà Hàng Cá Mập</t>
  </si>
  <si>
    <t>66/2021/HĐTC/NVW.HT-TFC</t>
  </si>
  <si>
    <t>THI CÔNG KC, HOÀN THIỆN THÔ, MEP CHO FEC, TREEHOUSE VÀ MANSION M5</t>
  </si>
  <si>
    <t>CÔNG TY CP KỸ THUẬT &amp; XÂY DỰNG HANDONG</t>
  </si>
  <si>
    <t>55/2021/HĐTC/NVW.HT-TFC</t>
  </si>
  <si>
    <t>CUNG CẤP VÀ LẮP ĐẶT THIẾT BỊ CÔNG NGHỆ THÔNG TIN CHO KHU VUI</t>
  </si>
  <si>
    <t>071/2021/HĐTC/NVW.HT-TFC</t>
  </si>
  <si>
    <t>Cung cấp, lắp đặt nhôm kính và kim loại căn Mansion M5</t>
  </si>
  <si>
    <t>62/HĐTC/2021/NVW.HT-TFC</t>
  </si>
  <si>
    <t>CUNG CẤP VÀ THI CÔNG NHÔM KÍNH KHÁCH SẠN MGALLERY VÀ 17 CĂN VILLA KHU KHÁCH SẠN</t>
  </si>
  <si>
    <t>070/2021/HĐTC/NVW.HT-TFC</t>
  </si>
  <si>
    <t>THI CÔNG KẾT CẤU, HOÀN THIỆN THÔ 17 CĂN VILLA KHU KHÁCH SẠN MGALLERY</t>
  </si>
  <si>
    <t>Hồ sĩ Trúc</t>
  </si>
  <si>
    <t>074/2021/HĐTC/NVW.HT-TFC</t>
  </si>
  <si>
    <t>THI CÔNG HTKT ORGANIC FARM VÀ KID FARM</t>
  </si>
  <si>
    <t>67/2021/HĐTC/NVW.HT-TFC</t>
  </si>
  <si>
    <t>CUNG CẤP NHÂN CÔNG XỬ LÝ CÁC HẠNG MỤC TRỄ TIẾN ĐỘ</t>
  </si>
  <si>
    <t>CÔNG TY TNHH XÂY DỰNG THƯƠNG MẠI DỊCH VỤ MINH HƯƠNG</t>
  </si>
  <si>
    <t>073/2021/HĐTC/NVW.HT-TFC</t>
  </si>
  <si>
    <t>THI CÔNG CÁC CÔNG TÁC KIM LOẠI CHO KHỐI KHÁCH SẠN M-GALLERY</t>
  </si>
  <si>
    <t>72/2021/HĐTC/NVW.HT-TFC</t>
  </si>
  <si>
    <t>THI CÔNG KẾT CẤU, HOÀN THIỆN THÔ VÀ CƠ ĐIỆN 192 CĂN VILLA KHU 4</t>
  </si>
  <si>
    <t>61/2021/HĐTC/NVW.HT-TFC</t>
  </si>
  <si>
    <t>CUNG CẤP VÀ THI CÔNG NHÔM KÍNH CHO 269 CĂN VILLAS KHU 3 VÀ BEACH CLUB</t>
  </si>
  <si>
    <t>54/2020/HĐTC/NVW.PT</t>
  </si>
  <si>
    <t>NOVAWORLD PHAN THIẾT</t>
  </si>
  <si>
    <t>NVW.PT</t>
  </si>
  <si>
    <t>BÌNH THUẬN 1</t>
  </si>
  <si>
    <t>CUNG CẤP VÀ THI CÔNG NHÔM KÍNH, KIM LOẠI CHO 44 CĂN VILLA KHU 3.7 VÀ 19 CĂN KHU</t>
  </si>
  <si>
    <t>CTY TNHH DELTA - VALLEY BÌNH THUẬN</t>
  </si>
  <si>
    <t>LAND</t>
  </si>
  <si>
    <t>Phân khu 3</t>
  </si>
  <si>
    <t>61/2021/HĐTC/NVW.PT</t>
  </si>
  <si>
    <t>CUNG CẤP VÀ THI CÔNG NHÔM KÍNH, KIM LOẠI CHO 76 CĂN SHOPHOUSE KHU CLARKE QUAY</t>
  </si>
  <si>
    <t>65/2021/HĐTC/NVW-PT</t>
  </si>
  <si>
    <t>THI CÔNG KẾT CẤU, HOÀN THIỆN THÔ VÀ CƠ ĐIỆN CHO 160 CĂN  SEMI DETACHED, SINGLE V</t>
  </si>
  <si>
    <t>56/2020/HĐTC/NVW.PT</t>
  </si>
  <si>
    <t>THI CÔNG KẾT CẤU, HOÀN THIỆN, MEP CHO 18 CĂN SHOPHOUSE KHU CLARKE QUAY</t>
  </si>
  <si>
    <t>55/2020/HĐTC/NVW.PT</t>
  </si>
  <si>
    <t>THI CÔNG KẾT CẤU, HOÀN THIỆN, MEP CHO 14 CĂN SHOPHOUSE KHU CLARKE QUAY</t>
  </si>
  <si>
    <t>47/2020/HĐTC/NVW.PT</t>
  </si>
  <si>
    <t>THI CÔNG KẾT CẤU, HOÀN THIỆN MẶT NGOÀI CHO 55 CĂN SHOPHOUSE KHU CLARKE QUAY</t>
  </si>
  <si>
    <t>80/2021/HĐTC/NVW.PT</t>
  </si>
  <si>
    <t>CUNG CẤP VÀ THI CÔNG NHÔM KÍNH, KIM LOẠI CHO 152 CĂN  SEMI DETACHED, SINGLE VILL</t>
  </si>
  <si>
    <t>CÔNG TY CỔ PHẦN BM WINDOWS</t>
  </si>
  <si>
    <t>81/2021/HĐTC/NVW.PT</t>
  </si>
  <si>
    <t>CUNG CẤP VÀ THI CÔNG NHÔM KÍNH, KIM LOẠI CHO 65 CĂN  SEMI DETACHED, SINGLE VILLA</t>
  </si>
  <si>
    <t>CÔNG TY CP SADO GERMANY WINDOW</t>
  </si>
  <si>
    <t>Bích Ngọc</t>
  </si>
  <si>
    <t>71/2021/HĐTC/NVW-PT</t>
  </si>
  <si>
    <t>THI CÔNG KẾT CẤU, HOÀN THIỆN THÔ VÀ CƠ ĐIỆN CHO 49 CĂN  Zone 1B Khu 3.7</t>
  </si>
  <si>
    <t>72/2021/HĐTC/NVW-PT</t>
  </si>
  <si>
    <t>THI CÔNG KẾT CẤU, HOÀN THIỆN THÔ VÀ CƠ ĐIỆN CHO 50 CĂN  Zone 1A Khu 3.7</t>
  </si>
  <si>
    <t>Hoàng Hiệp</t>
  </si>
  <si>
    <t>82/2021/HĐTC/NVW.PT</t>
  </si>
  <si>
    <t>CUNG CẤP VÀ THI CÔNG NHÔM KÍNH, KIM LOẠI CHO 42 CĂN  SEMI DETACHED, SINGLE VILLA</t>
  </si>
  <si>
    <t>75/2021/HĐTC/NVW.PT</t>
  </si>
  <si>
    <t>THI CÔNG KẾT CẤU, HOÀN THIỆN THÔ VÀ CƠ ĐIỆN CHO 125 CĂN SEMI DETACHED, SINGLE VI</t>
  </si>
  <si>
    <t>Nguyên Lộc</t>
  </si>
  <si>
    <t>Nguyễn Văn Cương</t>
  </si>
  <si>
    <t>10/2019/HĐTC/OCV.PT</t>
  </si>
  <si>
    <t>THI CÔNG KẾT CẤU VÀ HOÀN THIỆN NGOÀI 4 CĂN NHÀ MẪU</t>
  </si>
  <si>
    <t>CÔNG TY CỔ PHẦN ILA E&amp;C</t>
  </si>
  <si>
    <t>11/2019/HĐTC/OCV.PT</t>
  </si>
  <si>
    <t>THI CÔNG LẮP ĐẶT HỆ CỬA SỔ, CỬA ĐI BẰNG NHÔM KÍNH CHO 4 CĂN NHÀ MẪU</t>
  </si>
  <si>
    <t>CÔNG TY CỔ PHẦN NOVA E&amp;C</t>
  </si>
  <si>
    <t>31/2020/HĐTC/OCV.PT</t>
  </si>
  <si>
    <t>THI CÔNG KẾT CẤU, HOÀN THIỆN, MEP VÀ HÀNG RÀO CHO CÁC CĂN VILLA KHU 3.2 - ZONE 1</t>
  </si>
  <si>
    <t>32/2020/HĐTC/OCV.PT</t>
  </si>
  <si>
    <t>THI CÔNG KẾT CẤU, HOÀN THIỆN, MEP VÀ HÀNG RÀO CHO CÁC CĂN VILLA KHU 3.2 - ZONE 2</t>
  </si>
  <si>
    <t>CÔNG TY TNHH XÂY DỰNG TÀI VIỆT TÍN</t>
  </si>
  <si>
    <t>33/2020/HĐTC/OCV.PT</t>
  </si>
  <si>
    <t>THI CÔNG KẾT CẤU, HOÀN THIỆN, MEP VÀ HÀNG RÀO CHO CÁC CĂN VILLA KHU 3.2 - ZONE 3</t>
  </si>
  <si>
    <t>35/2020/HĐTC/OCV.PT</t>
  </si>
  <si>
    <t>THI CÔNG KẾT CẤU, HOÀN THIỆN, MEP VÀ HÀNG RÀO CHO CÁC CĂN VILLA KHU 3.2 - ZONE 4</t>
  </si>
  <si>
    <t>Công Hiếu</t>
  </si>
  <si>
    <t>42/2020/HĐTC/NVW.PT</t>
  </si>
  <si>
    <t>CUNG CẤP VÀ THI CÔNG NHÔM KÍNH, KIM LOẠI CHO 224 CĂN VILLA KHU 3.2</t>
  </si>
  <si>
    <t>43/2020/HĐTC/OCV.PT</t>
  </si>
  <si>
    <t>THI CÔNG KẾT CẤU PHẦN THÔ, HOÀN THIỆN MẶT NGOÀI NHÀ, HÀNG RÀO VÀ MEP CHO 44 CĂN</t>
  </si>
  <si>
    <t>45/2020/HĐTC/OCV.PT</t>
  </si>
  <si>
    <t>THI CÔNG KẾT CẤU, HOÀN THIỆN, MEP VÀ HÀNG RÀO CHO 19 CĂN SHOPHOUSE KHU CLARKE QU</t>
  </si>
  <si>
    <t>92/2021/HĐTC/NVW.PT</t>
  </si>
  <si>
    <t>CUNG CẤP VÀ THI CÔNG NHÔM KÍNH CHO 125 CĂN SD VÀ TH KHU WOW COMPOUND - GĐ1</t>
  </si>
  <si>
    <t>CÔNG TY CỔ PHẦN REICH</t>
  </si>
  <si>
    <t>106/2021/HĐTC/NVW.PT</t>
  </si>
  <si>
    <t>THI CÔNG KẾT CẤU, KIẾN TRÚC, MEP CHO 268 CĂN VILLA PK3.3</t>
  </si>
  <si>
    <t>107/2021/HĐTC/NVW.PT</t>
  </si>
  <si>
    <t>THI CÔNG KẾT CẤU, KIẾN TRÚC, MEP CHO 101 CĂN VILLA PK 3.3 (ZONE2)</t>
  </si>
  <si>
    <t>Thanh Thủy</t>
  </si>
  <si>
    <t>99/2021/HĐTC/NVW-PT</t>
  </si>
  <si>
    <t>THI CÔNG KẾT CẤU, HOÀN THIỆN THÔ VÀ CƠ ĐIỆN CHO 50 CĂN  SEMI DETACHED, SINGLE VI</t>
  </si>
  <si>
    <t>114/2021/HĐTC/ NVW.PT</t>
  </si>
  <si>
    <t>THI CÔNG KẾT CẤU, HOÀN THIỆN MẶT NGOÀI VÀ MEP THÔ CHO 4 CĂN MOCKUP MINI BOUTIQUE</t>
  </si>
  <si>
    <t>78/2021/HĐTC/NVW.PT</t>
  </si>
  <si>
    <t>CUNG CẤP, THI CÔNG CỌC THỬ, CỌC ĐẠI TRÀ KHÁCH SẠN H5</t>
  </si>
  <si>
    <t>STAY</t>
  </si>
  <si>
    <t>Phân khu 3-H5</t>
  </si>
  <si>
    <t>100/2021/HĐTC/NVW.PT</t>
  </si>
  <si>
    <t>THI CÔNG CỌC VILLA PK3.3</t>
  </si>
  <si>
    <t>127/2021/HĐTC/NVW.PT</t>
  </si>
  <si>
    <t>CUNG CẤP VÀ THI CÔNG SÀN CÁP DUL KS H5</t>
  </si>
  <si>
    <t>126/2021/HĐTC/ NVW.PT</t>
  </si>
  <si>
    <t>THI CÔNG KẾT CẤU, HOÀN THIỆN MẶT NGOÀI VÀ MEP THÔ CHO MOCKUP KHÁCH SẠN H5</t>
  </si>
  <si>
    <t>131/2021/HĐTC/NVW.PT</t>
  </si>
  <si>
    <t>CUNG CẤP VÀ THI CÔNG NHÔM KÍNH KIM LOẠI CHO NHÀ SECONDHOME TẠI KHU FLORIDA 3</t>
  </si>
  <si>
    <t>130/2021/HĐTC/NVW.PT</t>
  </si>
  <si>
    <t>THI CÔNG KẾT CẤU, KIẾN TRÚC, MEP CHO 153 CĂN VILLA PK 3.4</t>
  </si>
  <si>
    <t>143/2021/HĐTC/NVW.PT</t>
  </si>
  <si>
    <t>THI CÔNG KẾT CẤU, KIẾN TRÚC, MEP CHO 281 CĂN VILLA PK 3.4</t>
  </si>
  <si>
    <t>CÔNG TY CỔ PHẦN VẬT LIỆU VÀ GIẢI PHÁP SOL</t>
  </si>
  <si>
    <t>171/2022/HĐTC/NVW.PT</t>
  </si>
  <si>
    <t>THI CÔNG KẾT CẤU, HOÀN THIỆN VÀ CƠ ĐIỆN THÔ CHO 90 CĂN SD VILLA PK3.1 WOW COMPOU</t>
  </si>
  <si>
    <t>NT đã nộp (Thất lạc HS)</t>
  </si>
  <si>
    <t>151/2021/HĐTC/NVW.PT</t>
  </si>
  <si>
    <t>THI CÔNG KẾT CẤU, KIẾN TRÚC, MEP CHO 499 CĂN VILLA PK 3.5</t>
  </si>
  <si>
    <t>Lê Quang Thẳng</t>
  </si>
  <si>
    <t>152/2021/HĐTC/NVW.PT</t>
  </si>
  <si>
    <t>THI CÔNG KC, HT THÔ 255 CĂN BOUTIQUE PK 3</t>
  </si>
  <si>
    <t>180/2022/HĐTC/NVW.PT</t>
  </si>
  <si>
    <t>THI CÔNG KẾT CẤU, HOÀN THIỆN THÔ VÀ CƠ ĐIỆN CHO 267 CĂN VILLA ĐẠI TRÀ KHU 3.6</t>
  </si>
  <si>
    <t>194/2022/HĐTC/NVW.PT</t>
  </si>
  <si>
    <t>THI CÔNG KẾT CẤU HARDSCAPE VÀ TƯỜNG CHẮN ĐẤT, NGOÀI NHÀ WELCOME CENTER, HỒ BƠI K</t>
  </si>
  <si>
    <t>201/2022/HĐTC/NVW.PT</t>
  </si>
  <si>
    <t>THI CÔNG KẾT CẤU, KIẾN TRÚC, MEP CHO 241 CĂN VILLA PK 3.5</t>
  </si>
  <si>
    <t>179/2022/HĐTC/NVW.PT</t>
  </si>
  <si>
    <t>CUNG CẤP VÀ THI CÔNG NHÔM KÍNH CHO KHÁCH SẠN H5</t>
  </si>
  <si>
    <t>219/2022/HĐTC/NVW.PT</t>
  </si>
  <si>
    <t>THI CÔNG KẾT CẤU, KIẾN TRÚC, MEP CHO 250 CĂN VILLA 3.6</t>
  </si>
  <si>
    <t>206/2022/HĐTC/NVW.PT</t>
  </si>
  <si>
    <t>CUNG CẤP VÀ LẮP ĐẶT CỬA SỔ, CỬA ĐI NHÔM KÍNH CHO 255 CĂN BOUTIQUE HOTEL PK3.8</t>
  </si>
  <si>
    <t>205/2022/HĐTC/NVW.PT</t>
  </si>
  <si>
    <t>CUNG CẤP VÀ LẮP ĐẶT CỬA SỔ, CỬA ĐI NHÔM KÍNH CHO 517 CĂN VILLA PK3.6</t>
  </si>
  <si>
    <t>Ưu tiên 4</t>
  </si>
  <si>
    <t>204/2022/HĐTC/NVW.PT</t>
  </si>
  <si>
    <t>CUNG CẤP VÀ LẮP ĐẶT CỬA SỔ, CỬA ĐI NHÔM KÍNH CHO 740 CĂN VILLA PK3.5</t>
  </si>
  <si>
    <t>211/2022/HĐTC/NVW.PT</t>
  </si>
  <si>
    <t>THI CÔNG NHÔM KÍNH KIM LOẠI CHO 434 CĂN VILLA PK3.4</t>
  </si>
  <si>
    <t>Lê Vân</t>
  </si>
  <si>
    <t>227/2022/HĐTC/NVW.PT</t>
  </si>
  <si>
    <t>THI CÔNG KẾT CẤU, HOÀN THIỆN THÔ VÀ CƠ ĐIỆN CHO CLUBHOUSE 3.3&amp; 3.4</t>
  </si>
  <si>
    <t>172/2022/HĐTC/NVW.PT</t>
  </si>
  <si>
    <t>CUNG CẤP, THI CÔNG CỌC THỬ VÀ CỌC ĐẠI TRÀ KHÁCH SẠN BOUTIQUE PHÂN KHU 3</t>
  </si>
  <si>
    <t>CÔNG TY TNHH BÊ TÔNG VÀ XÂY DỰNG MINH ĐỨC</t>
  </si>
  <si>
    <t>235/2022/HĐTC/NVW.PT</t>
  </si>
  <si>
    <t>Cung Cấp Và Thi Công Lắp Đặt Đồng Hồ Điện cho Shophouse Khu Miami, Villa Khu 3.2</t>
  </si>
  <si>
    <t>242/2022/HĐTC/NVW.PT</t>
  </si>
  <si>
    <t>THI CÔNG KẾT CẤU, HOÀN THIỆN, MEP CHO 16 CĂN SHOPHOUSE KHU MIAMI</t>
  </si>
  <si>
    <t>CÔNG TY CỔ PHẦN XÂY DỰNG COTECCONS</t>
  </si>
  <si>
    <t>268/2023/HĐTC/NVW.PT</t>
  </si>
  <si>
    <t>CUNG CẤP, LẮP ĐẶT HẠNG MỤC THOÁT NƯỚC MẶT KHU VỰC LANDSCAPE KHÁCH SẠN H5</t>
  </si>
  <si>
    <t>CÔNG TY TNHH XÂY LẮP ĐIỆN TRÍ NGUYỄN</t>
  </si>
  <si>
    <t>269/2023/HĐTC/NVW.PT.</t>
  </si>
  <si>
    <t>THI CÔNG SỬA CHỮA KHẮC PHỤC DEFECT</t>
  </si>
  <si>
    <t>289/2024/HĐTC/NVW.PT</t>
  </si>
  <si>
    <t>TỔNG THẦU THIẾT KẾ THI CÔNG HOÀN THIỆN XDCB, MEP VÀ CUNG CẤP LẮP ĐẶT TRANG THIẾT</t>
  </si>
  <si>
    <t>294/2024/HĐTC/NVW.PT</t>
  </si>
  <si>
    <t>THI CÔNG HẠNG MỤC HTKT CƠ ĐIỆN VÀ XÂY DỰNG CHO KHU ROYAL MANSION VÀ CÁC KHU PHỤ</t>
  </si>
  <si>
    <t>3.1 Royal Mansion</t>
  </si>
  <si>
    <t>28/2020/HĐTC/OCV.PT</t>
  </si>
  <si>
    <t>CUNG CẤP VÀ THI CÔNG LẮP ĐẶT HỆ THỐNG XỬ LÝ NƯỚC SINH HOẠT</t>
  </si>
  <si>
    <t>CÔNG TY TNHH PHÁT TRIỂN CÔNG NGHỆ NƯỚC &amp; MÔI TRƯỜNG A.Q.C</t>
  </si>
  <si>
    <t>Phân khu 4-5</t>
  </si>
  <si>
    <t>64/2021/HĐTC/NVW-PT</t>
  </si>
  <si>
    <t>THI CÔNG KẾT CẤU, HOÀN THIỆN THÔ VÀ CƠ ĐIỆN CHO 20 CĂN  SEMI DETACHED  KHU 5.4</t>
  </si>
  <si>
    <t>83/2021/HĐTC/NVW.PT</t>
  </si>
  <si>
    <t>CUNG CẤP VÀ THI CÔNG NHÔM KÍNH, KIM LOẠI CHO 20 CĂN TOWHOUSE VÀ SEMI DETACHED KH</t>
  </si>
  <si>
    <t>115/2021/HĐTC/NVW.PT</t>
  </si>
  <si>
    <t>THI CÔNG KẾT CẤU, KIẾN TRÚC, MEP CHO 156 VILLA PK5.4 (KHU A)</t>
  </si>
  <si>
    <t>116/2021/HĐTC/NVW.PT</t>
  </si>
  <si>
    <t>THI CÔNG KẾT CẤU, KIẾN TRÚC, MEP CHO 68 VILLA PK5.5 (KHU B2)</t>
  </si>
  <si>
    <t>CÔNG TY CỔ PHẦN CƠ KHÍ VÀ ĐẦU TƯ XÂY DỰNG SỐ 9</t>
  </si>
  <si>
    <t>118/2021/HĐTC/NVW.PT</t>
  </si>
  <si>
    <t>THI CÔNG KẾT CẤU, KIẾN TRÚC, MEP CHO 134 VILLA PK5.5 (KHU C) VÀ 75 VILLA PK5.4 (</t>
  </si>
  <si>
    <t>CÔNG TY CỔ PHẦN REGREEN TOÀN CẦU</t>
  </si>
  <si>
    <t>122/2021/HĐTC/NVW.PT</t>
  </si>
  <si>
    <t>THI CÔNG KẾT CẤU, KIẾN TRÚC, MEP CHO 69 VILLA PK5.5 (KHU B1)</t>
  </si>
  <si>
    <t>154/2021/HĐTC/NVW.PT</t>
  </si>
  <si>
    <t>THI CÔNG KẾT CẤU, HOÀN THIỆN VÀ MEP CHO 209 CĂN VILLA PK5.4, PK5.5</t>
  </si>
  <si>
    <t>CÔNG TY TNHH SẢN XUẤT THƯƠNG MẠI DỊCH VỤ VIỆT ĐẠI PHÁT</t>
  </si>
  <si>
    <t>153/2021/HĐTC/NVW.PT</t>
  </si>
  <si>
    <t>THI CÔNG KC, HT VÀ MEP THÔ 100 CĂN PK5.6</t>
  </si>
  <si>
    <t>CÔNG TY TNHH XÂY DỰNG - THƯƠNG MẠI VÀ DỊCH VỤ ĐÔNG XUYÊN</t>
  </si>
  <si>
    <t>Dở dang theo tờ trình ko có TOC</t>
  </si>
  <si>
    <t>169/2022/HĐTC/NVW.PT</t>
  </si>
  <si>
    <t>THI CÔNG KẾT CẤU, HOÀN THIỆN THÔ VÀ CƠ ĐIỆN CHO 3 CLUBHOUSE PHÂN KHU 5</t>
  </si>
  <si>
    <t>156/2022/HĐTC/NVW.PT</t>
  </si>
  <si>
    <t>THI CÔNG KẾT CẤU, HOÀN THIỆN THÔ 247 CĂN VILLA PK5.7</t>
  </si>
  <si>
    <t>TỔNG CÔNG TY CỔ PHẦN CÔNG TRÌNH VIETTEL</t>
  </si>
  <si>
    <t>Dòng nào có data thì tính số lượng HĐ cần quyết tóan</t>
  </si>
  <si>
    <t>sl tqt</t>
  </si>
  <si>
    <t>KPI417</t>
  </si>
  <si>
    <t>KPI NGOÀI 417</t>
  </si>
  <si>
    <t>BÁO CÁO TRACKING QUYẾT TOÁN</t>
  </si>
  <si>
    <t>Số lượng HĐ cần quyết toán</t>
  </si>
  <si>
    <t>Drill down xuống Dự án</t>
  </si>
  <si>
    <t>Year</t>
  </si>
  <si>
    <t>Số lượng HĐ cần quyết toán 2026</t>
  </si>
  <si>
    <t>Hoàn thành</t>
  </si>
  <si>
    <t>% hoàn thành</t>
  </si>
  <si>
    <t>Làm báo cáo theo PIC (Cột AK, AL) theo số lượng đăng ký HĐ quyết toán, % hoàn thành…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</si>
</sst>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0"/>
      <name val="Aptos Narrow"/>
    </font>
    <font>
      <b/>
      <sz val="10"/>
      <name val="Aptos Narrow"/>
      <family val="2"/>
    </font>
    <font>
      <b/>
      <sz val="10"/>
      <color rgb="FFFF0000"/>
      <name val="Aptos Narrow"/>
      <family val="2"/>
    </font>
    <font>
      <sz val="10"/>
      <name val="Times New Roman"/>
      <family val="1"/>
    </font>
    <font>
      <b/>
      <sz val="10"/>
      <color rgb="FFFF0000"/>
      <name val="Aptos Narrow"/>
    </font>
    <font>
      <b/>
      <sz val="12"/>
      <color rgb="FFFF0000"/>
      <name val="Aptos Narrow"/>
    </font>
    <font>
      <sz val="10"/>
      <name val="Arial"/>
    </font>
    <font>
      <sz val="10"/>
      <color rgb="FFFF0000"/>
      <name val="Arial"/>
    </font>
    <font>
      <b/>
      <sz val="11"/>
      <color rgb="FF000000"/>
      <name val="Calibri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DEBF7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vertical="center" wrapText="1"/>
    </xf>
    <xf numFmtId="3" fontId="5" fillId="0" borderId="7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7" xfId="0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3" fontId="10" fillId="5" borderId="8" xfId="0" applyNumberFormat="1" applyFont="1" applyFill="1" applyBorder="1" applyAlignment="1">
      <alignment vertical="center"/>
    </xf>
    <xf numFmtId="3" fontId="5" fillId="0" borderId="9" xfId="0" applyNumberFormat="1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8" fillId="0" borderId="0" xfId="0" applyNumberFormat="1" applyFont="1" applyAlignment="1">
      <alignment vertical="center"/>
    </xf>
    <xf numFmtId="14" fontId="11" fillId="0" borderId="10" xfId="0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1" xfId="0" applyFont="1" applyFill="1" applyBorder="1" applyAlignment="1">
      <alignment vertical="center" wrapText="1"/>
    </xf>
    <xf numFmtId="0" fontId="0" fillId="0" borderId="11" xfId="0" applyBorder="1"/>
    <xf numFmtId="0" fontId="5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V157"/>
  <sheetViews>
    <sheetView zoomScale="70" zoomScaleNormal="70" workbookViewId="0">
      <pane xSplit="2" ySplit="4" topLeftCell="AE5" activePane="bottomRight" state="frozen"/>
      <selection pane="topRight" activeCell="C1" sqref="C1"/>
      <selection pane="bottomLeft" activeCell="A5" sqref="A5"/>
      <selection pane="bottomRight" activeCell="AK4" sqref="AK4"/>
    </sheetView>
  </sheetViews>
  <sheetFormatPr defaultRowHeight="14.5"/>
  <cols>
    <col min="1" max="1" width="8.7265625" style="35"/>
    <col min="2" max="2" width="23.36328125" style="35" customWidth="1"/>
    <col min="3" max="3" width="20.453125" style="35" customWidth="1"/>
    <col min="4" max="4" width="8.7265625" style="35"/>
    <col min="5" max="5" width="11.54296875" style="35" customWidth="1"/>
    <col min="6" max="6" width="26.36328125" style="35" customWidth="1"/>
    <col min="7" max="7" width="22.6328125" style="35" customWidth="1"/>
    <col min="8" max="8" width="8.7265625" style="35"/>
    <col min="9" max="9" width="35.08984375" style="35" customWidth="1"/>
    <col min="10" max="10" width="8.7265625" style="35"/>
    <col min="11" max="11" width="29.90625" style="35" customWidth="1"/>
    <col min="12" max="12" width="32" style="35" customWidth="1"/>
    <col min="13" max="13" width="20" style="35" customWidth="1"/>
    <col min="14" max="15" width="8.7265625" style="35"/>
    <col min="16" max="16" width="15" style="35" bestFit="1" customWidth="1"/>
    <col min="17" max="17" width="14.6328125" style="35" bestFit="1" customWidth="1"/>
    <col min="18" max="18" width="17.08984375" style="35" bestFit="1" customWidth="1"/>
    <col min="19" max="19" width="14" style="35" bestFit="1" customWidth="1"/>
    <col min="20" max="20" width="15" style="35" bestFit="1" customWidth="1"/>
    <col min="21" max="21" width="16.7265625" style="35" bestFit="1" customWidth="1"/>
    <col min="22" max="22" width="15" style="35" bestFit="1" customWidth="1"/>
    <col min="23" max="23" width="15.6328125" style="35" bestFit="1" customWidth="1"/>
    <col min="24" max="25" width="15" style="35" bestFit="1" customWidth="1"/>
    <col min="26" max="26" width="8.7265625" style="35"/>
    <col min="27" max="27" width="14.1796875" style="35" customWidth="1"/>
    <col min="28" max="29" width="14" style="35" bestFit="1" customWidth="1"/>
    <col min="30" max="31" width="13.81640625" style="35" customWidth="1"/>
    <col min="32" max="33" width="8.7265625" style="35"/>
    <col min="34" max="34" width="12.36328125" style="35" customWidth="1"/>
    <col min="35" max="35" width="17" style="35" customWidth="1"/>
    <col min="36" max="36" width="17.7265625" style="35" customWidth="1"/>
    <col min="37" max="37" width="13.26953125" style="35" customWidth="1"/>
    <col min="38" max="38" width="9.90625" style="35" customWidth="1"/>
    <col min="39" max="40" width="8.7265625" style="35"/>
    <col min="41" max="41" width="14.08984375" style="35" customWidth="1"/>
    <col min="42" max="42" width="12.36328125" style="35" customWidth="1"/>
    <col min="43" max="45" width="8.7265625" style="35"/>
    <col min="46" max="46" width="17.26953125" style="35" customWidth="1"/>
    <col min="47" max="16384" width="8.7265625" style="35"/>
  </cols>
  <sheetData>
    <row r="3" spans="1:48" ht="91" customHeight="1">
      <c r="AT3" s="39" t="s">
        <v>500</v>
      </c>
    </row>
    <row r="4" spans="1:48" ht="104" customHeight="1">
      <c r="A4" s="25" t="s">
        <v>0</v>
      </c>
      <c r="B4" s="25" t="s">
        <v>1</v>
      </c>
      <c r="C4" s="25" t="s">
        <v>2</v>
      </c>
      <c r="D4" s="25" t="s">
        <v>3</v>
      </c>
      <c r="E4" s="25" t="s">
        <v>113</v>
      </c>
      <c r="F4" s="25" t="s">
        <v>4</v>
      </c>
      <c r="G4" s="25" t="s">
        <v>5</v>
      </c>
      <c r="H4" s="25" t="s">
        <v>6</v>
      </c>
      <c r="I4" s="25" t="s">
        <v>7</v>
      </c>
      <c r="J4" s="25" t="s">
        <v>8</v>
      </c>
      <c r="K4" s="25" t="s">
        <v>9</v>
      </c>
      <c r="L4" s="25" t="s">
        <v>10</v>
      </c>
      <c r="M4" s="25" t="s">
        <v>11</v>
      </c>
      <c r="N4" s="16" t="s">
        <v>208</v>
      </c>
      <c r="O4" s="25" t="s">
        <v>12</v>
      </c>
      <c r="P4" s="1" t="s">
        <v>209</v>
      </c>
      <c r="Q4" s="1" t="s">
        <v>210</v>
      </c>
      <c r="R4" s="25" t="s">
        <v>114</v>
      </c>
      <c r="S4" s="25" t="s">
        <v>115</v>
      </c>
      <c r="T4" s="1" t="s">
        <v>211</v>
      </c>
      <c r="U4" s="25" t="s">
        <v>13</v>
      </c>
      <c r="V4" s="1" t="s">
        <v>212</v>
      </c>
      <c r="W4" s="1" t="s">
        <v>213</v>
      </c>
      <c r="X4" s="1" t="s">
        <v>214</v>
      </c>
      <c r="Y4" s="1" t="s">
        <v>215</v>
      </c>
      <c r="Z4" s="1" t="s">
        <v>216</v>
      </c>
      <c r="AA4" s="16" t="s">
        <v>217</v>
      </c>
      <c r="AB4" s="25" t="s">
        <v>14</v>
      </c>
      <c r="AC4" s="25" t="s">
        <v>116</v>
      </c>
      <c r="AD4" s="26" t="s">
        <v>15</v>
      </c>
      <c r="AE4" s="25" t="s">
        <v>16</v>
      </c>
      <c r="AF4" s="25" t="s">
        <v>17</v>
      </c>
      <c r="AG4" s="25" t="s">
        <v>18</v>
      </c>
      <c r="AH4" s="25" t="s">
        <v>117</v>
      </c>
      <c r="AI4" s="25" t="s">
        <v>19</v>
      </c>
      <c r="AJ4" s="40" t="s">
        <v>20</v>
      </c>
      <c r="AK4" s="25" t="s">
        <v>21</v>
      </c>
      <c r="AL4" s="25" t="s">
        <v>22</v>
      </c>
      <c r="AM4" s="25" t="s">
        <v>23</v>
      </c>
      <c r="AN4" s="25" t="s">
        <v>24</v>
      </c>
      <c r="AO4" s="27" t="s">
        <v>25</v>
      </c>
      <c r="AP4" s="28" t="s">
        <v>26</v>
      </c>
      <c r="AQ4" s="25" t="s">
        <v>27</v>
      </c>
      <c r="AR4" s="41" t="s">
        <v>28</v>
      </c>
      <c r="AS4" s="48" t="s">
        <v>29</v>
      </c>
      <c r="AT4" s="49" t="s">
        <v>30</v>
      </c>
      <c r="AU4" s="43" t="s">
        <v>501</v>
      </c>
      <c r="AV4" s="35" t="s">
        <v>507</v>
      </c>
    </row>
    <row r="5" spans="1:48" ht="37.5">
      <c r="A5" s="17">
        <v>16</v>
      </c>
      <c r="B5" s="17">
        <v>1000000000006030</v>
      </c>
      <c r="C5" s="18" t="s">
        <v>118</v>
      </c>
      <c r="D5" s="18"/>
      <c r="E5" s="17" t="s">
        <v>119</v>
      </c>
      <c r="F5" s="17" t="s">
        <v>120</v>
      </c>
      <c r="G5" s="17" t="s">
        <v>121</v>
      </c>
      <c r="H5" s="17"/>
      <c r="I5" s="18" t="s">
        <v>122</v>
      </c>
      <c r="J5" s="18"/>
      <c r="K5" s="18" t="s">
        <v>123</v>
      </c>
      <c r="L5" s="18" t="s">
        <v>37</v>
      </c>
      <c r="M5" s="19">
        <v>44026</v>
      </c>
      <c r="N5" s="17"/>
      <c r="O5" s="17"/>
      <c r="P5" s="20">
        <v>15909090909</v>
      </c>
      <c r="Q5" s="20">
        <v>12734624193</v>
      </c>
      <c r="R5" s="21">
        <v>28643715102</v>
      </c>
      <c r="S5" s="20">
        <v>2768606555</v>
      </c>
      <c r="T5" s="21">
        <v>31412321657</v>
      </c>
      <c r="U5" s="20">
        <v>17570222924</v>
      </c>
      <c r="V5" s="20">
        <v>19231480260</v>
      </c>
      <c r="W5" s="21">
        <v>12180841397</v>
      </c>
      <c r="X5" s="21">
        <v>14661614061</v>
      </c>
      <c r="Y5" s="21">
        <v>14661614061</v>
      </c>
      <c r="Z5" s="22" t="s">
        <v>38</v>
      </c>
      <c r="AA5" s="22" t="s">
        <v>38</v>
      </c>
      <c r="AB5" s="21">
        <v>3295239612</v>
      </c>
      <c r="AC5" s="21">
        <v>3295239612</v>
      </c>
      <c r="AD5" s="22" t="s">
        <v>38</v>
      </c>
      <c r="AE5" s="22"/>
      <c r="AF5" s="17"/>
      <c r="AG5" s="17"/>
      <c r="AH5" s="17" t="s">
        <v>40</v>
      </c>
      <c r="AI5" s="17" t="s">
        <v>69</v>
      </c>
      <c r="AJ5" s="17"/>
      <c r="AK5" s="17"/>
      <c r="AL5" s="17" t="s">
        <v>124</v>
      </c>
      <c r="AM5" s="17"/>
      <c r="AN5" s="17"/>
      <c r="AO5" s="19">
        <v>46387</v>
      </c>
      <c r="AP5" s="17"/>
      <c r="AQ5" s="17" t="s">
        <v>125</v>
      </c>
      <c r="AR5" s="42" t="s">
        <v>126</v>
      </c>
      <c r="AS5" s="50" t="s">
        <v>127</v>
      </c>
      <c r="AT5" s="50" t="s">
        <v>502</v>
      </c>
      <c r="AU5" s="35">
        <f>IF(AT5&lt;&gt;"",1,0)</f>
        <v>1</v>
      </c>
      <c r="AV5" s="35">
        <f>YEAR(AO5)</f>
        <v>2026</v>
      </c>
    </row>
    <row r="6" spans="1:48" ht="25">
      <c r="A6" s="17">
        <v>23</v>
      </c>
      <c r="B6" s="17">
        <v>1000000000006300</v>
      </c>
      <c r="C6" s="18" t="s">
        <v>129</v>
      </c>
      <c r="D6" s="18"/>
      <c r="E6" s="17" t="s">
        <v>119</v>
      </c>
      <c r="F6" s="17" t="s">
        <v>120</v>
      </c>
      <c r="G6" s="17" t="s">
        <v>121</v>
      </c>
      <c r="H6" s="17"/>
      <c r="I6" s="18" t="s">
        <v>130</v>
      </c>
      <c r="J6" s="18"/>
      <c r="K6" s="18" t="s">
        <v>123</v>
      </c>
      <c r="L6" s="18" t="s">
        <v>68</v>
      </c>
      <c r="M6" s="19">
        <v>44098</v>
      </c>
      <c r="N6" s="17"/>
      <c r="O6" s="17"/>
      <c r="P6" s="20">
        <v>14636165513</v>
      </c>
      <c r="Q6" s="20">
        <v>12614860686</v>
      </c>
      <c r="R6" s="21">
        <v>27251026199</v>
      </c>
      <c r="S6" s="20">
        <v>2665427892</v>
      </c>
      <c r="T6" s="21">
        <v>29916454091</v>
      </c>
      <c r="U6" s="20">
        <v>25440615464</v>
      </c>
      <c r="V6" s="20">
        <v>27961210497</v>
      </c>
      <c r="W6" s="21">
        <v>1955243594</v>
      </c>
      <c r="X6" s="21">
        <v>25486247830</v>
      </c>
      <c r="Y6" s="21">
        <v>25486247830</v>
      </c>
      <c r="Z6" s="22" t="s">
        <v>38</v>
      </c>
      <c r="AA6" s="22" t="s">
        <v>38</v>
      </c>
      <c r="AB6" s="21">
        <v>1420986943</v>
      </c>
      <c r="AC6" s="21">
        <v>1420986943</v>
      </c>
      <c r="AD6" s="22" t="s">
        <v>38</v>
      </c>
      <c r="AE6" s="22"/>
      <c r="AF6" s="17"/>
      <c r="AG6" s="17"/>
      <c r="AH6" s="17" t="s">
        <v>40</v>
      </c>
      <c r="AI6" s="17" t="s">
        <v>58</v>
      </c>
      <c r="AJ6" s="17"/>
      <c r="AK6" s="17" t="s">
        <v>131</v>
      </c>
      <c r="AL6" s="17"/>
      <c r="AM6" s="17"/>
      <c r="AN6" s="17"/>
      <c r="AO6" s="19">
        <v>46295</v>
      </c>
      <c r="AP6" s="17"/>
      <c r="AQ6" s="17" t="s">
        <v>125</v>
      </c>
      <c r="AR6" s="17" t="s">
        <v>132</v>
      </c>
      <c r="AS6" s="45"/>
      <c r="AT6" s="45" t="s">
        <v>502</v>
      </c>
      <c r="AU6" s="35">
        <f t="shared" ref="AU6:AU69" si="0">IF(AT6&lt;&gt;"",1,0)</f>
        <v>1</v>
      </c>
      <c r="AV6" s="35">
        <f t="shared" ref="AV6:AV69" si="1">YEAR(AO6)</f>
        <v>2026</v>
      </c>
    </row>
    <row r="7" spans="1:48" ht="25">
      <c r="A7" s="17">
        <v>25</v>
      </c>
      <c r="B7" s="17">
        <v>1000000000006420</v>
      </c>
      <c r="C7" s="18" t="s">
        <v>133</v>
      </c>
      <c r="D7" s="18"/>
      <c r="E7" s="17" t="s">
        <v>119</v>
      </c>
      <c r="F7" s="17" t="s">
        <v>120</v>
      </c>
      <c r="G7" s="17" t="s">
        <v>121</v>
      </c>
      <c r="H7" s="17"/>
      <c r="I7" s="18" t="s">
        <v>134</v>
      </c>
      <c r="J7" s="18"/>
      <c r="K7" s="18" t="s">
        <v>123</v>
      </c>
      <c r="L7" s="18" t="s">
        <v>68</v>
      </c>
      <c r="M7" s="19">
        <v>44104</v>
      </c>
      <c r="N7" s="17"/>
      <c r="O7" s="17"/>
      <c r="P7" s="20">
        <v>75069883515</v>
      </c>
      <c r="Q7" s="20">
        <v>-621424490</v>
      </c>
      <c r="R7" s="21">
        <v>74448459025</v>
      </c>
      <c r="S7" s="20">
        <v>7067928113</v>
      </c>
      <c r="T7" s="21">
        <v>81516387138</v>
      </c>
      <c r="U7" s="20">
        <v>65345086185</v>
      </c>
      <c r="V7" s="20">
        <v>71684744471</v>
      </c>
      <c r="W7" s="21">
        <v>9831642667</v>
      </c>
      <c r="X7" s="21">
        <v>68462652909</v>
      </c>
      <c r="Y7" s="21">
        <v>68462652909</v>
      </c>
      <c r="Z7" s="22" t="s">
        <v>38</v>
      </c>
      <c r="AA7" s="22" t="s">
        <v>38</v>
      </c>
      <c r="AB7" s="21">
        <v>7288338205</v>
      </c>
      <c r="AC7" s="21">
        <v>7288338205</v>
      </c>
      <c r="AD7" s="22" t="s">
        <v>38</v>
      </c>
      <c r="AE7" s="22"/>
      <c r="AF7" s="17" t="s">
        <v>135</v>
      </c>
      <c r="AG7" s="17"/>
      <c r="AH7" s="17" t="s">
        <v>40</v>
      </c>
      <c r="AI7" s="17" t="s">
        <v>58</v>
      </c>
      <c r="AJ7" s="17"/>
      <c r="AK7" s="17" t="s">
        <v>136</v>
      </c>
      <c r="AL7" s="17"/>
      <c r="AM7" s="17"/>
      <c r="AN7" s="17"/>
      <c r="AO7" s="19">
        <v>46356</v>
      </c>
      <c r="AP7" s="17"/>
      <c r="AQ7" s="17" t="s">
        <v>125</v>
      </c>
      <c r="AR7" s="42" t="s">
        <v>132</v>
      </c>
      <c r="AS7" s="50" t="s">
        <v>127</v>
      </c>
      <c r="AT7" s="50" t="s">
        <v>502</v>
      </c>
      <c r="AU7" s="35">
        <f t="shared" si="0"/>
        <v>1</v>
      </c>
      <c r="AV7" s="35">
        <f t="shared" si="1"/>
        <v>2026</v>
      </c>
    </row>
    <row r="8" spans="1:48" ht="37.5">
      <c r="A8" s="17">
        <v>34</v>
      </c>
      <c r="B8" s="17">
        <v>1000000000007750</v>
      </c>
      <c r="C8" s="18" t="s">
        <v>137</v>
      </c>
      <c r="D8" s="18"/>
      <c r="E8" s="17" t="s">
        <v>119</v>
      </c>
      <c r="F8" s="17" t="s">
        <v>120</v>
      </c>
      <c r="G8" s="17" t="s">
        <v>121</v>
      </c>
      <c r="H8" s="17"/>
      <c r="I8" s="18" t="s">
        <v>138</v>
      </c>
      <c r="J8" s="18"/>
      <c r="K8" s="18" t="s">
        <v>123</v>
      </c>
      <c r="L8" s="18" t="s">
        <v>37</v>
      </c>
      <c r="M8" s="19">
        <v>44291</v>
      </c>
      <c r="N8" s="17"/>
      <c r="O8" s="17"/>
      <c r="P8" s="20">
        <v>70671818182</v>
      </c>
      <c r="Q8" s="20">
        <v>33485731334</v>
      </c>
      <c r="R8" s="21">
        <v>104157549516</v>
      </c>
      <c r="S8" s="20">
        <v>8457666901</v>
      </c>
      <c r="T8" s="21">
        <v>112615216417</v>
      </c>
      <c r="U8" s="20">
        <v>98949672043</v>
      </c>
      <c r="V8" s="20">
        <v>106990708744</v>
      </c>
      <c r="W8" s="21">
        <v>5624507673</v>
      </c>
      <c r="X8" s="21">
        <v>101935745143</v>
      </c>
      <c r="Y8" s="21">
        <v>23049720343</v>
      </c>
      <c r="Z8" s="22" t="s">
        <v>38</v>
      </c>
      <c r="AA8" s="21">
        <v>78886024800</v>
      </c>
      <c r="AB8" s="22" t="s">
        <v>38</v>
      </c>
      <c r="AC8" s="22" t="s">
        <v>38</v>
      </c>
      <c r="AD8" s="22" t="s">
        <v>38</v>
      </c>
      <c r="AE8" s="22"/>
      <c r="AF8" s="17" t="s">
        <v>135</v>
      </c>
      <c r="AG8" s="17"/>
      <c r="AH8" s="17" t="s">
        <v>40</v>
      </c>
      <c r="AI8" s="17" t="s">
        <v>58</v>
      </c>
      <c r="AJ8" s="17"/>
      <c r="AK8" s="17"/>
      <c r="AL8" s="17" t="s">
        <v>139</v>
      </c>
      <c r="AM8" s="17"/>
      <c r="AN8" s="17"/>
      <c r="AO8" s="19">
        <v>46386</v>
      </c>
      <c r="AP8" s="17"/>
      <c r="AQ8" s="17" t="s">
        <v>125</v>
      </c>
      <c r="AR8" s="42" t="s">
        <v>126</v>
      </c>
      <c r="AS8" s="50" t="s">
        <v>140</v>
      </c>
      <c r="AT8" s="50" t="s">
        <v>502</v>
      </c>
      <c r="AU8" s="35">
        <f t="shared" si="0"/>
        <v>1</v>
      </c>
      <c r="AV8" s="35">
        <f t="shared" si="1"/>
        <v>2026</v>
      </c>
    </row>
    <row r="9" spans="1:48" ht="37.5">
      <c r="A9" s="17">
        <v>39</v>
      </c>
      <c r="B9" s="17">
        <v>1000000000008340</v>
      </c>
      <c r="C9" s="18" t="s">
        <v>141</v>
      </c>
      <c r="D9" s="18"/>
      <c r="E9" s="17" t="s">
        <v>119</v>
      </c>
      <c r="F9" s="17" t="s">
        <v>120</v>
      </c>
      <c r="G9" s="17" t="s">
        <v>121</v>
      </c>
      <c r="H9" s="17"/>
      <c r="I9" s="18" t="s">
        <v>142</v>
      </c>
      <c r="J9" s="18"/>
      <c r="K9" s="18" t="s">
        <v>123</v>
      </c>
      <c r="L9" s="18" t="s">
        <v>68</v>
      </c>
      <c r="M9" s="19">
        <v>44287</v>
      </c>
      <c r="N9" s="17"/>
      <c r="O9" s="17"/>
      <c r="P9" s="20">
        <v>148062845586</v>
      </c>
      <c r="Q9" s="20">
        <v>9790127061</v>
      </c>
      <c r="R9" s="21">
        <v>157852972647</v>
      </c>
      <c r="S9" s="20">
        <v>13875063735</v>
      </c>
      <c r="T9" s="21">
        <v>171728036382</v>
      </c>
      <c r="U9" s="20">
        <v>156069462039</v>
      </c>
      <c r="V9" s="20">
        <v>169801844926</v>
      </c>
      <c r="W9" s="21">
        <v>1926191456</v>
      </c>
      <c r="X9" s="21">
        <v>161962371823</v>
      </c>
      <c r="Y9" s="21">
        <v>161962371823</v>
      </c>
      <c r="Z9" s="22" t="s">
        <v>38</v>
      </c>
      <c r="AA9" s="22" t="s">
        <v>38</v>
      </c>
      <c r="AB9" s="21">
        <v>14948384559</v>
      </c>
      <c r="AC9" s="21">
        <v>14948384559</v>
      </c>
      <c r="AD9" s="22" t="s">
        <v>38</v>
      </c>
      <c r="AE9" s="22"/>
      <c r="AF9" s="17" t="s">
        <v>135</v>
      </c>
      <c r="AG9" s="17"/>
      <c r="AH9" s="17" t="s">
        <v>40</v>
      </c>
      <c r="AI9" s="17" t="s">
        <v>58</v>
      </c>
      <c r="AJ9" s="17"/>
      <c r="AK9" s="17" t="s">
        <v>143</v>
      </c>
      <c r="AL9" s="17" t="s">
        <v>124</v>
      </c>
      <c r="AM9" s="17"/>
      <c r="AN9" s="17"/>
      <c r="AO9" s="19">
        <v>46387</v>
      </c>
      <c r="AP9" s="17"/>
      <c r="AQ9" s="17" t="s">
        <v>125</v>
      </c>
      <c r="AR9" s="42" t="s">
        <v>144</v>
      </c>
      <c r="AS9" s="50" t="s">
        <v>145</v>
      </c>
      <c r="AT9" s="50" t="s">
        <v>503</v>
      </c>
      <c r="AU9" s="35">
        <f t="shared" si="0"/>
        <v>1</v>
      </c>
      <c r="AV9" s="35">
        <f t="shared" si="1"/>
        <v>2026</v>
      </c>
    </row>
    <row r="10" spans="1:48" ht="37.5">
      <c r="A10" s="17">
        <v>41</v>
      </c>
      <c r="B10" s="17">
        <v>1000000000008480</v>
      </c>
      <c r="C10" s="18" t="s">
        <v>146</v>
      </c>
      <c r="D10" s="18"/>
      <c r="E10" s="17" t="s">
        <v>119</v>
      </c>
      <c r="F10" s="17" t="s">
        <v>120</v>
      </c>
      <c r="G10" s="17" t="s">
        <v>121</v>
      </c>
      <c r="H10" s="17"/>
      <c r="I10" s="18" t="s">
        <v>147</v>
      </c>
      <c r="J10" s="18"/>
      <c r="K10" s="18" t="s">
        <v>123</v>
      </c>
      <c r="L10" s="18" t="s">
        <v>148</v>
      </c>
      <c r="M10" s="19">
        <v>44336</v>
      </c>
      <c r="N10" s="17"/>
      <c r="O10" s="17"/>
      <c r="P10" s="20">
        <v>7795447383</v>
      </c>
      <c r="Q10" s="20">
        <v>1729653909</v>
      </c>
      <c r="R10" s="21">
        <v>9525101292</v>
      </c>
      <c r="S10" s="20">
        <v>904308523</v>
      </c>
      <c r="T10" s="21">
        <v>10429409815</v>
      </c>
      <c r="U10" s="20">
        <v>8489144060</v>
      </c>
      <c r="V10" s="20">
        <v>9310576005</v>
      </c>
      <c r="W10" s="21">
        <v>1118833810</v>
      </c>
      <c r="X10" s="21">
        <v>8886118803</v>
      </c>
      <c r="Y10" s="21">
        <v>8886118803</v>
      </c>
      <c r="Z10" s="22" t="s">
        <v>38</v>
      </c>
      <c r="AA10" s="22" t="s">
        <v>38</v>
      </c>
      <c r="AB10" s="21">
        <v>1948861846</v>
      </c>
      <c r="AC10" s="21">
        <v>1948861846</v>
      </c>
      <c r="AD10" s="22" t="s">
        <v>38</v>
      </c>
      <c r="AE10" s="22"/>
      <c r="AF10" s="17" t="s">
        <v>135</v>
      </c>
      <c r="AG10" s="17"/>
      <c r="AH10" s="17" t="s">
        <v>40</v>
      </c>
      <c r="AI10" s="17" t="s">
        <v>41</v>
      </c>
      <c r="AJ10" s="17"/>
      <c r="AK10" s="17" t="s">
        <v>136</v>
      </c>
      <c r="AL10" s="17"/>
      <c r="AM10" s="17"/>
      <c r="AN10" s="17"/>
      <c r="AO10" s="19">
        <v>46325</v>
      </c>
      <c r="AP10" s="17"/>
      <c r="AQ10" s="17" t="s">
        <v>125</v>
      </c>
      <c r="AR10" s="42" t="s">
        <v>132</v>
      </c>
      <c r="AS10" s="51" t="s">
        <v>149</v>
      </c>
      <c r="AT10" s="50" t="s">
        <v>503</v>
      </c>
      <c r="AU10" s="35">
        <f t="shared" si="0"/>
        <v>1</v>
      </c>
      <c r="AV10" s="35">
        <f t="shared" si="1"/>
        <v>2026</v>
      </c>
    </row>
    <row r="11" spans="1:48" ht="25">
      <c r="A11" s="17">
        <v>42</v>
      </c>
      <c r="B11" s="17">
        <v>1000000000008580</v>
      </c>
      <c r="C11" s="18" t="s">
        <v>150</v>
      </c>
      <c r="D11" s="18"/>
      <c r="E11" s="17" t="s">
        <v>119</v>
      </c>
      <c r="F11" s="17" t="s">
        <v>120</v>
      </c>
      <c r="G11" s="17" t="s">
        <v>121</v>
      </c>
      <c r="H11" s="17"/>
      <c r="I11" s="18" t="s">
        <v>151</v>
      </c>
      <c r="J11" s="18"/>
      <c r="K11" s="18" t="s">
        <v>123</v>
      </c>
      <c r="L11" s="18" t="s">
        <v>152</v>
      </c>
      <c r="M11" s="19">
        <v>44362</v>
      </c>
      <c r="N11" s="17"/>
      <c r="O11" s="17"/>
      <c r="P11" s="20">
        <v>21869100000</v>
      </c>
      <c r="Q11" s="20">
        <v>-21869100000</v>
      </c>
      <c r="R11" s="22" t="s">
        <v>57</v>
      </c>
      <c r="S11" s="20">
        <v>2186910000</v>
      </c>
      <c r="T11" s="21">
        <v>2186910000</v>
      </c>
      <c r="U11" s="23" t="s">
        <v>38</v>
      </c>
      <c r="V11" s="23" t="s">
        <v>38</v>
      </c>
      <c r="W11" s="21">
        <v>2186910000</v>
      </c>
      <c r="X11" s="22" t="s">
        <v>38</v>
      </c>
      <c r="Y11" s="22" t="s">
        <v>38</v>
      </c>
      <c r="Z11" s="22" t="s">
        <v>38</v>
      </c>
      <c r="AA11" s="22" t="s">
        <v>38</v>
      </c>
      <c r="AB11" s="22" t="s">
        <v>38</v>
      </c>
      <c r="AC11" s="22" t="s">
        <v>38</v>
      </c>
      <c r="AD11" s="22" t="s">
        <v>38</v>
      </c>
      <c r="AE11" s="22"/>
      <c r="AF11" s="17" t="s">
        <v>135</v>
      </c>
      <c r="AG11" s="17"/>
      <c r="AH11" s="17" t="s">
        <v>40</v>
      </c>
      <c r="AI11" s="17" t="s">
        <v>153</v>
      </c>
      <c r="AJ11" s="17"/>
      <c r="AK11" s="17" t="s">
        <v>154</v>
      </c>
      <c r="AL11" s="17"/>
      <c r="AM11" s="17"/>
      <c r="AN11" s="17"/>
      <c r="AO11" s="19">
        <v>46387</v>
      </c>
      <c r="AP11" s="17" t="s">
        <v>155</v>
      </c>
      <c r="AQ11" s="17" t="s">
        <v>125</v>
      </c>
      <c r="AR11" s="17" t="s">
        <v>132</v>
      </c>
      <c r="AS11" s="46"/>
      <c r="AT11" s="46" t="s">
        <v>503</v>
      </c>
      <c r="AU11" s="35">
        <f t="shared" si="0"/>
        <v>1</v>
      </c>
      <c r="AV11" s="35">
        <f t="shared" si="1"/>
        <v>2026</v>
      </c>
    </row>
    <row r="12" spans="1:48" ht="37.5">
      <c r="A12" s="17">
        <v>46</v>
      </c>
      <c r="B12" s="17">
        <v>1000000000009040</v>
      </c>
      <c r="C12" s="18" t="s">
        <v>156</v>
      </c>
      <c r="D12" s="18"/>
      <c r="E12" s="17" t="s">
        <v>119</v>
      </c>
      <c r="F12" s="17" t="s">
        <v>120</v>
      </c>
      <c r="G12" s="17" t="s">
        <v>121</v>
      </c>
      <c r="H12" s="17"/>
      <c r="I12" s="18" t="s">
        <v>157</v>
      </c>
      <c r="J12" s="18"/>
      <c r="K12" s="18" t="s">
        <v>123</v>
      </c>
      <c r="L12" s="18" t="s">
        <v>158</v>
      </c>
      <c r="M12" s="19">
        <v>44378</v>
      </c>
      <c r="N12" s="17"/>
      <c r="O12" s="17"/>
      <c r="P12" s="20">
        <v>11186846750</v>
      </c>
      <c r="Q12" s="20">
        <v>5501132892</v>
      </c>
      <c r="R12" s="21">
        <v>16687979642</v>
      </c>
      <c r="S12" s="20">
        <v>1668797964</v>
      </c>
      <c r="T12" s="21">
        <v>18356777606</v>
      </c>
      <c r="U12" s="20">
        <v>15427904294</v>
      </c>
      <c r="V12" s="20">
        <v>16970694724</v>
      </c>
      <c r="W12" s="21">
        <v>1386082882</v>
      </c>
      <c r="X12" s="21">
        <v>16199299509</v>
      </c>
      <c r="Y12" s="21">
        <v>13615238648</v>
      </c>
      <c r="Z12" s="22" t="s">
        <v>38</v>
      </c>
      <c r="AA12" s="21">
        <v>2584060861</v>
      </c>
      <c r="AB12" s="21">
        <v>1928310327</v>
      </c>
      <c r="AC12" s="21">
        <v>1928310327</v>
      </c>
      <c r="AD12" s="22" t="s">
        <v>38</v>
      </c>
      <c r="AE12" s="22"/>
      <c r="AF12" s="17" t="s">
        <v>135</v>
      </c>
      <c r="AG12" s="17"/>
      <c r="AH12" s="17" t="s">
        <v>40</v>
      </c>
      <c r="AI12" s="17" t="s">
        <v>58</v>
      </c>
      <c r="AJ12" s="17"/>
      <c r="AK12" s="17" t="s">
        <v>154</v>
      </c>
      <c r="AL12" s="17"/>
      <c r="AM12" s="17"/>
      <c r="AN12" s="17"/>
      <c r="AO12" s="19">
        <v>46387</v>
      </c>
      <c r="AP12" s="17"/>
      <c r="AQ12" s="17" t="s">
        <v>125</v>
      </c>
      <c r="AR12" s="17" t="s">
        <v>132</v>
      </c>
      <c r="AS12" s="17"/>
      <c r="AT12" s="17" t="s">
        <v>503</v>
      </c>
      <c r="AU12" s="35">
        <f t="shared" si="0"/>
        <v>1</v>
      </c>
      <c r="AV12" s="35">
        <f t="shared" si="1"/>
        <v>2026</v>
      </c>
    </row>
    <row r="13" spans="1:48" ht="25">
      <c r="A13" s="17">
        <v>47</v>
      </c>
      <c r="B13" s="17">
        <v>1000000000009070</v>
      </c>
      <c r="C13" s="18" t="s">
        <v>159</v>
      </c>
      <c r="D13" s="18"/>
      <c r="E13" s="17" t="s">
        <v>119</v>
      </c>
      <c r="F13" s="17" t="s">
        <v>120</v>
      </c>
      <c r="G13" s="17" t="s">
        <v>121</v>
      </c>
      <c r="H13" s="17"/>
      <c r="I13" s="18" t="s">
        <v>160</v>
      </c>
      <c r="J13" s="18"/>
      <c r="K13" s="18" t="s">
        <v>123</v>
      </c>
      <c r="L13" s="18" t="s">
        <v>161</v>
      </c>
      <c r="M13" s="19">
        <v>44378</v>
      </c>
      <c r="N13" s="17"/>
      <c r="O13" s="17"/>
      <c r="P13" s="20">
        <v>25472847340</v>
      </c>
      <c r="Q13" s="20">
        <v>418175720</v>
      </c>
      <c r="R13" s="21">
        <v>25891023060</v>
      </c>
      <c r="S13" s="20">
        <v>2589102306</v>
      </c>
      <c r="T13" s="21">
        <v>28480125366</v>
      </c>
      <c r="U13" s="20">
        <v>24616912172</v>
      </c>
      <c r="V13" s="20">
        <v>27078603389</v>
      </c>
      <c r="W13" s="21">
        <v>1401521977</v>
      </c>
      <c r="X13" s="21">
        <v>22155220955</v>
      </c>
      <c r="Y13" s="21">
        <v>22155220955</v>
      </c>
      <c r="Z13" s="22" t="s">
        <v>38</v>
      </c>
      <c r="AA13" s="22" t="s">
        <v>38</v>
      </c>
      <c r="AB13" s="21">
        <v>2547284734</v>
      </c>
      <c r="AC13" s="21">
        <v>2547284734</v>
      </c>
      <c r="AD13" s="22" t="s">
        <v>38</v>
      </c>
      <c r="AE13" s="22"/>
      <c r="AF13" s="17" t="s">
        <v>135</v>
      </c>
      <c r="AG13" s="17"/>
      <c r="AH13" s="17" t="s">
        <v>40</v>
      </c>
      <c r="AI13" s="17" t="s">
        <v>69</v>
      </c>
      <c r="AJ13" s="17"/>
      <c r="AK13" s="17" t="s">
        <v>162</v>
      </c>
      <c r="AL13" s="17"/>
      <c r="AM13" s="17"/>
      <c r="AN13" s="17"/>
      <c r="AO13" s="19">
        <v>46264</v>
      </c>
      <c r="AP13" s="17"/>
      <c r="AQ13" s="17" t="s">
        <v>125</v>
      </c>
      <c r="AR13" s="17" t="s">
        <v>132</v>
      </c>
      <c r="AS13" s="17"/>
      <c r="AT13" s="17" t="s">
        <v>503</v>
      </c>
      <c r="AU13" s="35">
        <f t="shared" si="0"/>
        <v>1</v>
      </c>
      <c r="AV13" s="35">
        <f t="shared" si="1"/>
        <v>2026</v>
      </c>
    </row>
    <row r="14" spans="1:48" ht="25">
      <c r="A14" s="17">
        <v>48</v>
      </c>
      <c r="B14" s="17">
        <v>1000000000009130</v>
      </c>
      <c r="C14" s="18" t="s">
        <v>163</v>
      </c>
      <c r="D14" s="18"/>
      <c r="E14" s="17" t="s">
        <v>119</v>
      </c>
      <c r="F14" s="17" t="s">
        <v>120</v>
      </c>
      <c r="G14" s="17" t="s">
        <v>121</v>
      </c>
      <c r="H14" s="17"/>
      <c r="I14" s="18" t="s">
        <v>164</v>
      </c>
      <c r="J14" s="18"/>
      <c r="K14" s="18" t="s">
        <v>123</v>
      </c>
      <c r="L14" s="18" t="s">
        <v>165</v>
      </c>
      <c r="M14" s="19">
        <v>44448</v>
      </c>
      <c r="N14" s="17"/>
      <c r="O14" s="17"/>
      <c r="P14" s="20">
        <v>124998861751</v>
      </c>
      <c r="Q14" s="20">
        <v>3514096705</v>
      </c>
      <c r="R14" s="21">
        <v>128512958456</v>
      </c>
      <c r="S14" s="20">
        <v>10406020214</v>
      </c>
      <c r="T14" s="21">
        <v>138918978670</v>
      </c>
      <c r="U14" s="20">
        <v>71841818427</v>
      </c>
      <c r="V14" s="20">
        <v>77714147437</v>
      </c>
      <c r="W14" s="21">
        <v>61204831233</v>
      </c>
      <c r="X14" s="21">
        <v>70529965595</v>
      </c>
      <c r="Y14" s="21">
        <v>70529965595</v>
      </c>
      <c r="Z14" s="22" t="s">
        <v>38</v>
      </c>
      <c r="AA14" s="22" t="s">
        <v>38</v>
      </c>
      <c r="AB14" s="21">
        <v>24999772350</v>
      </c>
      <c r="AC14" s="21">
        <v>24999772350</v>
      </c>
      <c r="AD14" s="22" t="s">
        <v>38</v>
      </c>
      <c r="AE14" s="22"/>
      <c r="AF14" s="17" t="s">
        <v>135</v>
      </c>
      <c r="AG14" s="17"/>
      <c r="AH14" s="17" t="s">
        <v>40</v>
      </c>
      <c r="AI14" s="17" t="s">
        <v>58</v>
      </c>
      <c r="AJ14" s="17"/>
      <c r="AK14" s="17"/>
      <c r="AL14" s="17" t="s">
        <v>124</v>
      </c>
      <c r="AM14" s="17"/>
      <c r="AN14" s="17"/>
      <c r="AO14" s="19">
        <v>46295</v>
      </c>
      <c r="AP14" s="17"/>
      <c r="AQ14" s="17" t="s">
        <v>125</v>
      </c>
      <c r="AR14" s="17" t="s">
        <v>126</v>
      </c>
      <c r="AS14" s="17"/>
      <c r="AT14" s="17" t="s">
        <v>503</v>
      </c>
      <c r="AU14" s="35">
        <f t="shared" si="0"/>
        <v>1</v>
      </c>
      <c r="AV14" s="35">
        <f t="shared" si="1"/>
        <v>2026</v>
      </c>
    </row>
    <row r="15" spans="1:48" ht="25">
      <c r="A15" s="17">
        <v>49</v>
      </c>
      <c r="B15" s="17">
        <v>1000000000009220</v>
      </c>
      <c r="C15" s="18" t="s">
        <v>166</v>
      </c>
      <c r="D15" s="18"/>
      <c r="E15" s="17" t="s">
        <v>119</v>
      </c>
      <c r="F15" s="17" t="s">
        <v>120</v>
      </c>
      <c r="G15" s="17" t="s">
        <v>121</v>
      </c>
      <c r="H15" s="17"/>
      <c r="I15" s="18" t="s">
        <v>167</v>
      </c>
      <c r="J15" s="18"/>
      <c r="K15" s="18" t="s">
        <v>123</v>
      </c>
      <c r="L15" s="18" t="s">
        <v>168</v>
      </c>
      <c r="M15" s="19">
        <v>44382</v>
      </c>
      <c r="N15" s="17"/>
      <c r="O15" s="17"/>
      <c r="P15" s="20">
        <v>5436750000</v>
      </c>
      <c r="Q15" s="20">
        <v>-2283435000</v>
      </c>
      <c r="R15" s="21">
        <v>3153315000</v>
      </c>
      <c r="S15" s="36">
        <v>315331500</v>
      </c>
      <c r="T15" s="21">
        <v>3468646500</v>
      </c>
      <c r="U15" s="20">
        <v>3153315000</v>
      </c>
      <c r="V15" s="20">
        <v>3468646501</v>
      </c>
      <c r="W15" s="22">
        <v>-1</v>
      </c>
      <c r="X15" s="21">
        <v>3720096188</v>
      </c>
      <c r="Y15" s="21">
        <v>3720096188</v>
      </c>
      <c r="Z15" s="22" t="s">
        <v>38</v>
      </c>
      <c r="AA15" s="22" t="s">
        <v>38</v>
      </c>
      <c r="AB15" s="21">
        <v>1631025000</v>
      </c>
      <c r="AC15" s="21">
        <v>1064243813</v>
      </c>
      <c r="AD15" s="21">
        <v>566781187</v>
      </c>
      <c r="AE15" s="22"/>
      <c r="AF15" s="17" t="s">
        <v>135</v>
      </c>
      <c r="AG15" s="17"/>
      <c r="AH15" s="17" t="s">
        <v>40</v>
      </c>
      <c r="AI15" s="17" t="s">
        <v>58</v>
      </c>
      <c r="AJ15" s="17"/>
      <c r="AK15" s="17" t="s">
        <v>154</v>
      </c>
      <c r="AL15" s="17"/>
      <c r="AM15" s="17"/>
      <c r="AN15" s="17"/>
      <c r="AO15" s="19">
        <v>46387</v>
      </c>
      <c r="AP15" s="17"/>
      <c r="AQ15" s="17" t="s">
        <v>125</v>
      </c>
      <c r="AR15" s="17" t="s">
        <v>132</v>
      </c>
      <c r="AS15" s="17"/>
      <c r="AT15" s="17" t="s">
        <v>503</v>
      </c>
      <c r="AU15" s="35">
        <f t="shared" si="0"/>
        <v>1</v>
      </c>
      <c r="AV15" s="35">
        <f t="shared" si="1"/>
        <v>2026</v>
      </c>
    </row>
    <row r="16" spans="1:48" ht="37.5">
      <c r="A16" s="17">
        <v>51</v>
      </c>
      <c r="B16" s="17">
        <v>1000000000009350</v>
      </c>
      <c r="C16" s="18" t="s">
        <v>169</v>
      </c>
      <c r="D16" s="18"/>
      <c r="E16" s="17" t="s">
        <v>119</v>
      </c>
      <c r="F16" s="17" t="s">
        <v>120</v>
      </c>
      <c r="G16" s="17" t="s">
        <v>121</v>
      </c>
      <c r="H16" s="17"/>
      <c r="I16" s="18" t="s">
        <v>170</v>
      </c>
      <c r="J16" s="18"/>
      <c r="K16" s="18" t="s">
        <v>123</v>
      </c>
      <c r="L16" s="18" t="s">
        <v>168</v>
      </c>
      <c r="M16" s="19">
        <v>44379</v>
      </c>
      <c r="N16" s="17"/>
      <c r="O16" s="17"/>
      <c r="P16" s="20">
        <v>12268663735</v>
      </c>
      <c r="Q16" s="20">
        <v>-114780791</v>
      </c>
      <c r="R16" s="21">
        <v>12153882944</v>
      </c>
      <c r="S16" s="36">
        <v>1215388294</v>
      </c>
      <c r="T16" s="21">
        <v>13369271238</v>
      </c>
      <c r="U16" s="20">
        <v>12153882944</v>
      </c>
      <c r="V16" s="20">
        <v>13369271238</v>
      </c>
      <c r="W16" s="22" t="s">
        <v>38</v>
      </c>
      <c r="X16" s="21">
        <v>12761577092</v>
      </c>
      <c r="Y16" s="21">
        <v>12453882945</v>
      </c>
      <c r="Z16" s="22" t="s">
        <v>38</v>
      </c>
      <c r="AA16" s="21">
        <v>307694147</v>
      </c>
      <c r="AB16" s="21">
        <v>3680599121</v>
      </c>
      <c r="AC16" s="21">
        <v>3680599121</v>
      </c>
      <c r="AD16" s="22" t="s">
        <v>38</v>
      </c>
      <c r="AE16" s="22"/>
      <c r="AF16" s="17" t="s">
        <v>135</v>
      </c>
      <c r="AG16" s="17"/>
      <c r="AH16" s="17" t="s">
        <v>40</v>
      </c>
      <c r="AI16" s="17" t="s">
        <v>69</v>
      </c>
      <c r="AJ16" s="17"/>
      <c r="AK16" s="17" t="s">
        <v>143</v>
      </c>
      <c r="AL16" s="17"/>
      <c r="AM16" s="17"/>
      <c r="AN16" s="17"/>
      <c r="AO16" s="19">
        <v>46387</v>
      </c>
      <c r="AP16" s="17" t="s">
        <v>171</v>
      </c>
      <c r="AQ16" s="17" t="s">
        <v>125</v>
      </c>
      <c r="AR16" s="17" t="s">
        <v>132</v>
      </c>
      <c r="AS16" s="17"/>
      <c r="AT16" s="17" t="s">
        <v>502</v>
      </c>
      <c r="AU16" s="35">
        <f t="shared" si="0"/>
        <v>1</v>
      </c>
      <c r="AV16" s="35">
        <f t="shared" si="1"/>
        <v>2026</v>
      </c>
    </row>
    <row r="17" spans="1:48" ht="25">
      <c r="A17" s="17">
        <v>52</v>
      </c>
      <c r="B17" s="17">
        <v>1000000000009500</v>
      </c>
      <c r="C17" s="18" t="s">
        <v>172</v>
      </c>
      <c r="D17" s="18"/>
      <c r="E17" s="17" t="s">
        <v>119</v>
      </c>
      <c r="F17" s="17" t="s">
        <v>120</v>
      </c>
      <c r="G17" s="17" t="s">
        <v>121</v>
      </c>
      <c r="H17" s="17"/>
      <c r="I17" s="18" t="s">
        <v>173</v>
      </c>
      <c r="J17" s="18"/>
      <c r="K17" s="18" t="s">
        <v>123</v>
      </c>
      <c r="L17" s="18" t="s">
        <v>168</v>
      </c>
      <c r="M17" s="19">
        <v>44379</v>
      </c>
      <c r="N17" s="17"/>
      <c r="O17" s="17"/>
      <c r="P17" s="20">
        <v>11410896477</v>
      </c>
      <c r="Q17" s="20">
        <v>-141803299</v>
      </c>
      <c r="R17" s="21">
        <v>11269093178</v>
      </c>
      <c r="S17" s="36">
        <v>1126909318</v>
      </c>
      <c r="T17" s="21">
        <v>12396002496</v>
      </c>
      <c r="U17" s="20">
        <v>11269093178</v>
      </c>
      <c r="V17" s="20">
        <v>12396002495</v>
      </c>
      <c r="W17" s="22">
        <v>1</v>
      </c>
      <c r="X17" s="21">
        <v>11832547836</v>
      </c>
      <c r="Y17" s="21">
        <v>11269093177</v>
      </c>
      <c r="Z17" s="22" t="s">
        <v>38</v>
      </c>
      <c r="AA17" s="21">
        <v>563454659</v>
      </c>
      <c r="AB17" s="21">
        <v>3423268943</v>
      </c>
      <c r="AC17" s="21">
        <v>3423268943</v>
      </c>
      <c r="AD17" s="22" t="s">
        <v>38</v>
      </c>
      <c r="AE17" s="22"/>
      <c r="AF17" s="17" t="s">
        <v>135</v>
      </c>
      <c r="AG17" s="17"/>
      <c r="AH17" s="17" t="s">
        <v>40</v>
      </c>
      <c r="AI17" s="17" t="s">
        <v>58</v>
      </c>
      <c r="AJ17" s="17"/>
      <c r="AK17" s="17" t="s">
        <v>154</v>
      </c>
      <c r="AL17" s="17"/>
      <c r="AM17" s="17"/>
      <c r="AN17" s="17"/>
      <c r="AO17" s="19">
        <v>46387</v>
      </c>
      <c r="AP17" s="17"/>
      <c r="AQ17" s="17" t="s">
        <v>125</v>
      </c>
      <c r="AR17" s="17" t="s">
        <v>132</v>
      </c>
      <c r="AS17" s="17"/>
      <c r="AT17" s="17" t="s">
        <v>502</v>
      </c>
      <c r="AU17" s="35">
        <f t="shared" si="0"/>
        <v>1</v>
      </c>
      <c r="AV17" s="35">
        <f t="shared" si="1"/>
        <v>2026</v>
      </c>
    </row>
    <row r="18" spans="1:48" ht="25">
      <c r="A18" s="17">
        <v>54</v>
      </c>
      <c r="B18" s="17">
        <v>1000000000009720</v>
      </c>
      <c r="C18" s="18" t="s">
        <v>174</v>
      </c>
      <c r="D18" s="18"/>
      <c r="E18" s="17" t="s">
        <v>119</v>
      </c>
      <c r="F18" s="17" t="s">
        <v>120</v>
      </c>
      <c r="G18" s="17" t="s">
        <v>121</v>
      </c>
      <c r="H18" s="17"/>
      <c r="I18" s="18" t="s">
        <v>175</v>
      </c>
      <c r="J18" s="18"/>
      <c r="K18" s="18" t="s">
        <v>123</v>
      </c>
      <c r="L18" s="18" t="s">
        <v>176</v>
      </c>
      <c r="M18" s="19">
        <v>44312</v>
      </c>
      <c r="N18" s="17"/>
      <c r="O18" s="17"/>
      <c r="P18" s="20">
        <v>8175231965</v>
      </c>
      <c r="Q18" s="20">
        <v>-3553154635</v>
      </c>
      <c r="R18" s="21">
        <v>4622077330</v>
      </c>
      <c r="S18" s="20">
        <v>462207733</v>
      </c>
      <c r="T18" s="21">
        <v>5084285063</v>
      </c>
      <c r="U18" s="20">
        <v>3340415094</v>
      </c>
      <c r="V18" s="20">
        <v>3674456603</v>
      </c>
      <c r="W18" s="21">
        <v>1409828460</v>
      </c>
      <c r="X18" s="21">
        <v>3006373584</v>
      </c>
      <c r="Y18" s="21">
        <v>3006373584</v>
      </c>
      <c r="Z18" s="22" t="s">
        <v>38</v>
      </c>
      <c r="AA18" s="22" t="s">
        <v>38</v>
      </c>
      <c r="AB18" s="22" t="s">
        <v>38</v>
      </c>
      <c r="AC18" s="22" t="s">
        <v>38</v>
      </c>
      <c r="AD18" s="22" t="s">
        <v>38</v>
      </c>
      <c r="AE18" s="22"/>
      <c r="AF18" s="17" t="s">
        <v>135</v>
      </c>
      <c r="AG18" s="17"/>
      <c r="AH18" s="17" t="s">
        <v>40</v>
      </c>
      <c r="AI18" s="17" t="s">
        <v>58</v>
      </c>
      <c r="AJ18" s="17"/>
      <c r="AK18" s="17" t="s">
        <v>154</v>
      </c>
      <c r="AL18" s="17"/>
      <c r="AM18" s="17"/>
      <c r="AN18" s="17"/>
      <c r="AO18" s="19">
        <v>46386</v>
      </c>
      <c r="AP18" s="17"/>
      <c r="AQ18" s="17" t="s">
        <v>125</v>
      </c>
      <c r="AR18" s="17" t="s">
        <v>132</v>
      </c>
      <c r="AS18" s="44"/>
      <c r="AT18" s="44" t="s">
        <v>502</v>
      </c>
      <c r="AU18" s="35">
        <f t="shared" si="0"/>
        <v>1</v>
      </c>
      <c r="AV18" s="35">
        <f t="shared" si="1"/>
        <v>2026</v>
      </c>
    </row>
    <row r="19" spans="1:48" ht="37.5">
      <c r="A19" s="17">
        <v>70</v>
      </c>
      <c r="B19" s="17">
        <v>1000000000010750</v>
      </c>
      <c r="C19" s="18" t="s">
        <v>177</v>
      </c>
      <c r="D19" s="18"/>
      <c r="E19" s="17" t="s">
        <v>119</v>
      </c>
      <c r="F19" s="17" t="s">
        <v>120</v>
      </c>
      <c r="G19" s="17" t="s">
        <v>121</v>
      </c>
      <c r="H19" s="17"/>
      <c r="I19" s="18" t="s">
        <v>178</v>
      </c>
      <c r="J19" s="18"/>
      <c r="K19" s="18" t="s">
        <v>123</v>
      </c>
      <c r="L19" s="18" t="s">
        <v>179</v>
      </c>
      <c r="M19" s="19">
        <v>44650</v>
      </c>
      <c r="N19" s="17"/>
      <c r="O19" s="17"/>
      <c r="P19" s="20">
        <v>6100872247</v>
      </c>
      <c r="Q19" s="20">
        <v>352313439</v>
      </c>
      <c r="R19" s="21">
        <v>6453185686</v>
      </c>
      <c r="S19" s="20">
        <v>574443672</v>
      </c>
      <c r="T19" s="21">
        <v>7027629358</v>
      </c>
      <c r="U19" s="20">
        <v>5536271262</v>
      </c>
      <c r="V19" s="20">
        <v>6019023491</v>
      </c>
      <c r="W19" s="21">
        <v>1008605867</v>
      </c>
      <c r="X19" s="21">
        <v>4668385815</v>
      </c>
      <c r="Y19" s="21">
        <v>4668385815</v>
      </c>
      <c r="Z19" s="22" t="s">
        <v>38</v>
      </c>
      <c r="AA19" s="22" t="s">
        <v>38</v>
      </c>
      <c r="AB19" s="21">
        <v>610087225</v>
      </c>
      <c r="AC19" s="21">
        <v>610087225</v>
      </c>
      <c r="AD19" s="22" t="s">
        <v>38</v>
      </c>
      <c r="AE19" s="22"/>
      <c r="AF19" s="17" t="s">
        <v>135</v>
      </c>
      <c r="AG19" s="17"/>
      <c r="AH19" s="17" t="s">
        <v>40</v>
      </c>
      <c r="AI19" s="17" t="s">
        <v>58</v>
      </c>
      <c r="AJ19" s="17"/>
      <c r="AK19" s="17" t="s">
        <v>154</v>
      </c>
      <c r="AL19" s="17"/>
      <c r="AM19" s="17"/>
      <c r="AN19" s="17"/>
      <c r="AO19" s="19">
        <v>46386</v>
      </c>
      <c r="AP19" s="17"/>
      <c r="AQ19" s="17" t="s">
        <v>125</v>
      </c>
      <c r="AR19" s="42" t="s">
        <v>132</v>
      </c>
      <c r="AS19" s="51" t="s">
        <v>149</v>
      </c>
      <c r="AT19" s="50" t="s">
        <v>502</v>
      </c>
      <c r="AU19" s="35">
        <f t="shared" si="0"/>
        <v>1</v>
      </c>
      <c r="AV19" s="35">
        <f t="shared" si="1"/>
        <v>2026</v>
      </c>
    </row>
    <row r="20" spans="1:48" ht="37.5">
      <c r="A20" s="17">
        <v>80</v>
      </c>
      <c r="B20" s="17">
        <v>1000000000011700</v>
      </c>
      <c r="C20" s="18" t="s">
        <v>180</v>
      </c>
      <c r="D20" s="18"/>
      <c r="E20" s="17" t="s">
        <v>119</v>
      </c>
      <c r="F20" s="17" t="s">
        <v>120</v>
      </c>
      <c r="G20" s="17" t="s">
        <v>121</v>
      </c>
      <c r="H20" s="17"/>
      <c r="I20" s="18" t="s">
        <v>181</v>
      </c>
      <c r="J20" s="18"/>
      <c r="K20" s="18" t="s">
        <v>123</v>
      </c>
      <c r="L20" s="18" t="s">
        <v>97</v>
      </c>
      <c r="M20" s="19">
        <v>44685</v>
      </c>
      <c r="N20" s="17"/>
      <c r="O20" s="17"/>
      <c r="P20" s="20">
        <v>20000766518</v>
      </c>
      <c r="Q20" s="23" t="s">
        <v>38</v>
      </c>
      <c r="R20" s="21">
        <v>20000766518</v>
      </c>
      <c r="S20" s="20">
        <v>1600061321</v>
      </c>
      <c r="T20" s="21">
        <v>21600827839</v>
      </c>
      <c r="U20" s="20">
        <v>4506577441</v>
      </c>
      <c r="V20" s="20">
        <v>4867103636</v>
      </c>
      <c r="W20" s="21">
        <v>16733724203</v>
      </c>
      <c r="X20" s="21">
        <v>5515207056</v>
      </c>
      <c r="Y20" s="21">
        <v>5515207056</v>
      </c>
      <c r="Z20" s="22" t="s">
        <v>38</v>
      </c>
      <c r="AA20" s="22" t="s">
        <v>38</v>
      </c>
      <c r="AB20" s="21">
        <v>2000076652</v>
      </c>
      <c r="AC20" s="21">
        <v>450657744</v>
      </c>
      <c r="AD20" s="21">
        <v>1549418908</v>
      </c>
      <c r="AE20" s="22"/>
      <c r="AF20" s="17" t="s">
        <v>135</v>
      </c>
      <c r="AG20" s="17"/>
      <c r="AH20" s="17" t="s">
        <v>40</v>
      </c>
      <c r="AI20" s="17" t="s">
        <v>58</v>
      </c>
      <c r="AJ20" s="17"/>
      <c r="AK20" s="17" t="s">
        <v>131</v>
      </c>
      <c r="AL20" s="17" t="s">
        <v>182</v>
      </c>
      <c r="AM20" s="17"/>
      <c r="AN20" s="17"/>
      <c r="AO20" s="19">
        <v>46295</v>
      </c>
      <c r="AP20" s="17"/>
      <c r="AQ20" s="17" t="s">
        <v>125</v>
      </c>
      <c r="AR20" s="42" t="s">
        <v>144</v>
      </c>
      <c r="AS20" s="50" t="s">
        <v>140</v>
      </c>
      <c r="AT20" s="50" t="s">
        <v>502</v>
      </c>
      <c r="AU20" s="35">
        <f t="shared" si="0"/>
        <v>1</v>
      </c>
      <c r="AV20" s="35">
        <f t="shared" si="1"/>
        <v>2026</v>
      </c>
    </row>
    <row r="21" spans="1:48" ht="25">
      <c r="A21" s="17">
        <v>82</v>
      </c>
      <c r="B21" s="17">
        <v>1000000000011920</v>
      </c>
      <c r="C21" s="18" t="s">
        <v>183</v>
      </c>
      <c r="D21" s="18"/>
      <c r="E21" s="17" t="s">
        <v>119</v>
      </c>
      <c r="F21" s="17" t="s">
        <v>120</v>
      </c>
      <c r="G21" s="17" t="s">
        <v>121</v>
      </c>
      <c r="H21" s="17"/>
      <c r="I21" s="18" t="s">
        <v>184</v>
      </c>
      <c r="J21" s="18"/>
      <c r="K21" s="18" t="s">
        <v>123</v>
      </c>
      <c r="L21" s="18" t="s">
        <v>176</v>
      </c>
      <c r="M21" s="19">
        <v>44719</v>
      </c>
      <c r="N21" s="17"/>
      <c r="O21" s="17"/>
      <c r="P21" s="20">
        <v>71651119050</v>
      </c>
      <c r="Q21" s="20">
        <v>7066309753</v>
      </c>
      <c r="R21" s="21">
        <v>78717428803</v>
      </c>
      <c r="S21" s="20">
        <v>6297394304</v>
      </c>
      <c r="T21" s="21">
        <v>85014823107</v>
      </c>
      <c r="U21" s="23" t="s">
        <v>38</v>
      </c>
      <c r="V21" s="23" t="s">
        <v>38</v>
      </c>
      <c r="W21" s="21">
        <v>85014823107</v>
      </c>
      <c r="X21" s="21">
        <v>6594841507</v>
      </c>
      <c r="Y21" s="21">
        <v>6594841507</v>
      </c>
      <c r="Z21" s="22" t="s">
        <v>38</v>
      </c>
      <c r="AA21" s="22" t="s">
        <v>38</v>
      </c>
      <c r="AB21" s="21">
        <v>6594841507</v>
      </c>
      <c r="AC21" s="22" t="s">
        <v>38</v>
      </c>
      <c r="AD21" s="21">
        <v>6594841507</v>
      </c>
      <c r="AE21" s="22"/>
      <c r="AF21" s="17" t="s">
        <v>135</v>
      </c>
      <c r="AG21" s="17"/>
      <c r="AH21" s="17" t="s">
        <v>40</v>
      </c>
      <c r="AI21" s="17" t="s">
        <v>58</v>
      </c>
      <c r="AJ21" s="17"/>
      <c r="AK21" s="17" t="s">
        <v>154</v>
      </c>
      <c r="AL21" s="17"/>
      <c r="AM21" s="17"/>
      <c r="AN21" s="17"/>
      <c r="AO21" s="19">
        <v>46386</v>
      </c>
      <c r="AP21" s="17"/>
      <c r="AQ21" s="17" t="s">
        <v>125</v>
      </c>
      <c r="AR21" s="42" t="s">
        <v>132</v>
      </c>
      <c r="AS21" s="50" t="s">
        <v>145</v>
      </c>
      <c r="AT21" s="50" t="s">
        <v>502</v>
      </c>
      <c r="AU21" s="35">
        <f t="shared" si="0"/>
        <v>1</v>
      </c>
      <c r="AV21" s="35">
        <f t="shared" si="1"/>
        <v>2026</v>
      </c>
    </row>
    <row r="22" spans="1:48" ht="37.5">
      <c r="A22" s="17">
        <v>88</v>
      </c>
      <c r="B22" s="17">
        <v>1000000000012920</v>
      </c>
      <c r="C22" s="18" t="s">
        <v>185</v>
      </c>
      <c r="D22" s="18"/>
      <c r="E22" s="17" t="s">
        <v>119</v>
      </c>
      <c r="F22" s="17" t="s">
        <v>120</v>
      </c>
      <c r="G22" s="17" t="s">
        <v>121</v>
      </c>
      <c r="H22" s="17"/>
      <c r="I22" s="18" t="s">
        <v>186</v>
      </c>
      <c r="J22" s="18"/>
      <c r="K22" s="18" t="s">
        <v>123</v>
      </c>
      <c r="L22" s="18" t="s">
        <v>187</v>
      </c>
      <c r="M22" s="19">
        <v>44753</v>
      </c>
      <c r="N22" s="17"/>
      <c r="O22" s="17"/>
      <c r="P22" s="20">
        <v>12190295587</v>
      </c>
      <c r="Q22" s="23" t="s">
        <v>38</v>
      </c>
      <c r="R22" s="21">
        <v>12190295587</v>
      </c>
      <c r="S22" s="20">
        <v>1219029559</v>
      </c>
      <c r="T22" s="21">
        <v>13409325146</v>
      </c>
      <c r="U22" s="20">
        <v>1448595073</v>
      </c>
      <c r="V22" s="20">
        <v>1593454580</v>
      </c>
      <c r="W22" s="21">
        <v>11815870566</v>
      </c>
      <c r="X22" s="21">
        <v>1521024826</v>
      </c>
      <c r="Y22" s="21">
        <v>200000000</v>
      </c>
      <c r="Z22" s="22" t="s">
        <v>38</v>
      </c>
      <c r="AA22" s="21">
        <v>1321024826</v>
      </c>
      <c r="AB22" s="22" t="s">
        <v>38</v>
      </c>
      <c r="AC22" s="22" t="s">
        <v>38</v>
      </c>
      <c r="AD22" s="22" t="s">
        <v>38</v>
      </c>
      <c r="AE22" s="22"/>
      <c r="AF22" s="17" t="s">
        <v>135</v>
      </c>
      <c r="AG22" s="17"/>
      <c r="AH22" s="17" t="s">
        <v>40</v>
      </c>
      <c r="AI22" s="17" t="s">
        <v>69</v>
      </c>
      <c r="AJ22" s="17"/>
      <c r="AK22" s="17" t="s">
        <v>162</v>
      </c>
      <c r="AL22" s="17"/>
      <c r="AM22" s="17"/>
      <c r="AN22" s="17"/>
      <c r="AO22" s="19">
        <v>46254</v>
      </c>
      <c r="AP22" s="17"/>
      <c r="AQ22" s="17" t="s">
        <v>125</v>
      </c>
      <c r="AR22" s="42" t="s">
        <v>132</v>
      </c>
      <c r="AS22" s="50" t="s">
        <v>145</v>
      </c>
      <c r="AT22" s="50" t="s">
        <v>502</v>
      </c>
      <c r="AU22" s="35">
        <f t="shared" si="0"/>
        <v>1</v>
      </c>
      <c r="AV22" s="35">
        <f t="shared" si="1"/>
        <v>2026</v>
      </c>
    </row>
    <row r="23" spans="1:48" ht="25">
      <c r="A23" s="17">
        <v>92</v>
      </c>
      <c r="B23" s="17">
        <v>1000000000013020</v>
      </c>
      <c r="C23" s="18" t="s">
        <v>188</v>
      </c>
      <c r="D23" s="18"/>
      <c r="E23" s="17" t="s">
        <v>119</v>
      </c>
      <c r="F23" s="17" t="s">
        <v>120</v>
      </c>
      <c r="G23" s="17" t="s">
        <v>121</v>
      </c>
      <c r="H23" s="17"/>
      <c r="I23" s="18" t="s">
        <v>189</v>
      </c>
      <c r="J23" s="18"/>
      <c r="K23" s="18" t="s">
        <v>123</v>
      </c>
      <c r="L23" s="18" t="s">
        <v>190</v>
      </c>
      <c r="M23" s="19">
        <v>45352</v>
      </c>
      <c r="N23" s="17"/>
      <c r="O23" s="17"/>
      <c r="P23" s="20">
        <v>635611627</v>
      </c>
      <c r="Q23" s="23" t="s">
        <v>38</v>
      </c>
      <c r="R23" s="21">
        <v>635611627</v>
      </c>
      <c r="S23" s="20">
        <v>50848930</v>
      </c>
      <c r="T23" s="21">
        <v>686460557</v>
      </c>
      <c r="U23" s="20">
        <v>575327872</v>
      </c>
      <c r="V23" s="20">
        <v>621354102</v>
      </c>
      <c r="W23" s="21">
        <v>65106455</v>
      </c>
      <c r="X23" s="21">
        <v>563821315</v>
      </c>
      <c r="Y23" s="21">
        <v>563821315</v>
      </c>
      <c r="Z23" s="22" t="s">
        <v>38</v>
      </c>
      <c r="AA23" s="22" t="s">
        <v>38</v>
      </c>
      <c r="AB23" s="21">
        <v>127122325</v>
      </c>
      <c r="AC23" s="21">
        <v>127122325</v>
      </c>
      <c r="AD23" s="22" t="s">
        <v>38</v>
      </c>
      <c r="AE23" s="22"/>
      <c r="AF23" s="17" t="s">
        <v>135</v>
      </c>
      <c r="AG23" s="17"/>
      <c r="AH23" s="17" t="s">
        <v>40</v>
      </c>
      <c r="AI23" s="17" t="s">
        <v>58</v>
      </c>
      <c r="AJ23" s="17"/>
      <c r="AK23" s="17"/>
      <c r="AL23" s="17" t="s">
        <v>182</v>
      </c>
      <c r="AM23" s="17"/>
      <c r="AN23" s="17"/>
      <c r="AO23" s="19">
        <v>46295</v>
      </c>
      <c r="AP23" s="17"/>
      <c r="AQ23" s="17" t="s">
        <v>125</v>
      </c>
      <c r="AR23" s="42" t="s">
        <v>126</v>
      </c>
      <c r="AS23" s="50" t="s">
        <v>140</v>
      </c>
      <c r="AT23" s="50" t="s">
        <v>503</v>
      </c>
      <c r="AU23" s="35">
        <f t="shared" si="0"/>
        <v>1</v>
      </c>
      <c r="AV23" s="35">
        <f t="shared" si="1"/>
        <v>2026</v>
      </c>
    </row>
    <row r="24" spans="1:48" ht="25">
      <c r="A24" s="17">
        <v>96</v>
      </c>
      <c r="B24" s="17">
        <v>1000000000013230</v>
      </c>
      <c r="C24" s="18" t="s">
        <v>191</v>
      </c>
      <c r="D24" s="18"/>
      <c r="E24" s="17" t="s">
        <v>119</v>
      </c>
      <c r="F24" s="17" t="s">
        <v>120</v>
      </c>
      <c r="G24" s="17" t="s">
        <v>121</v>
      </c>
      <c r="H24" s="17"/>
      <c r="I24" s="18" t="s">
        <v>192</v>
      </c>
      <c r="J24" s="18"/>
      <c r="K24" s="18" t="s">
        <v>123</v>
      </c>
      <c r="L24" s="18" t="s">
        <v>179</v>
      </c>
      <c r="M24" s="19">
        <v>45595</v>
      </c>
      <c r="N24" s="17"/>
      <c r="O24" s="17"/>
      <c r="P24" s="20">
        <v>8188325067</v>
      </c>
      <c r="Q24" s="23" t="s">
        <v>38</v>
      </c>
      <c r="R24" s="21">
        <v>8188325067</v>
      </c>
      <c r="S24" s="20">
        <v>655066005</v>
      </c>
      <c r="T24" s="21">
        <v>8843391072</v>
      </c>
      <c r="U24" s="20">
        <v>3781927277</v>
      </c>
      <c r="V24" s="20">
        <v>4084481459</v>
      </c>
      <c r="W24" s="21">
        <v>4758909613</v>
      </c>
      <c r="X24" s="21">
        <v>4886385795</v>
      </c>
      <c r="Y24" s="21">
        <v>4886385795</v>
      </c>
      <c r="Z24" s="22" t="s">
        <v>38</v>
      </c>
      <c r="AA24" s="22" t="s">
        <v>38</v>
      </c>
      <c r="AB24" s="21">
        <v>2456497520</v>
      </c>
      <c r="AC24" s="21">
        <v>1276400456</v>
      </c>
      <c r="AD24" s="21">
        <v>1180097064</v>
      </c>
      <c r="AE24" s="22"/>
      <c r="AF24" s="17" t="s">
        <v>135</v>
      </c>
      <c r="AG24" s="17"/>
      <c r="AH24" s="17" t="s">
        <v>40</v>
      </c>
      <c r="AI24" s="17" t="s">
        <v>58</v>
      </c>
      <c r="AJ24" s="17"/>
      <c r="AK24" s="17" t="s">
        <v>154</v>
      </c>
      <c r="AL24" s="17"/>
      <c r="AM24" s="17"/>
      <c r="AN24" s="17"/>
      <c r="AO24" s="19">
        <v>46386</v>
      </c>
      <c r="AP24" s="17"/>
      <c r="AQ24" s="17" t="s">
        <v>125</v>
      </c>
      <c r="AR24" s="42" t="s">
        <v>132</v>
      </c>
      <c r="AS24" s="50" t="s">
        <v>127</v>
      </c>
      <c r="AT24" s="50" t="s">
        <v>503</v>
      </c>
      <c r="AU24" s="35">
        <f t="shared" si="0"/>
        <v>1</v>
      </c>
      <c r="AV24" s="35">
        <f t="shared" si="1"/>
        <v>2026</v>
      </c>
    </row>
    <row r="25" spans="1:48" ht="37.5">
      <c r="A25" s="17">
        <v>100</v>
      </c>
      <c r="B25" s="17">
        <v>1000000000005760</v>
      </c>
      <c r="C25" s="18" t="s">
        <v>193</v>
      </c>
      <c r="D25" s="18"/>
      <c r="E25" s="17" t="s">
        <v>194</v>
      </c>
      <c r="F25" s="17" t="s">
        <v>195</v>
      </c>
      <c r="G25" s="17" t="s">
        <v>121</v>
      </c>
      <c r="H25" s="17"/>
      <c r="I25" s="18" t="s">
        <v>196</v>
      </c>
      <c r="J25" s="18"/>
      <c r="K25" s="18" t="s">
        <v>197</v>
      </c>
      <c r="L25" s="18" t="s">
        <v>198</v>
      </c>
      <c r="M25" s="19">
        <v>43913</v>
      </c>
      <c r="N25" s="17"/>
      <c r="O25" s="17"/>
      <c r="P25" s="20">
        <v>13519986232</v>
      </c>
      <c r="Q25" s="20">
        <v>4493344768</v>
      </c>
      <c r="R25" s="21">
        <v>18013331000</v>
      </c>
      <c r="S25" s="20">
        <v>1784474390</v>
      </c>
      <c r="T25" s="21">
        <v>19797805390</v>
      </c>
      <c r="U25" s="20">
        <v>17091626232</v>
      </c>
      <c r="V25" s="20">
        <v>18783930145</v>
      </c>
      <c r="W25" s="21">
        <v>1013875245</v>
      </c>
      <c r="X25" s="21">
        <v>17114767522</v>
      </c>
      <c r="Y25" s="21">
        <v>17114767522</v>
      </c>
      <c r="Z25" s="22" t="s">
        <v>38</v>
      </c>
      <c r="AA25" s="22" t="s">
        <v>38</v>
      </c>
      <c r="AB25" s="22" t="s">
        <v>38</v>
      </c>
      <c r="AC25" s="22" t="s">
        <v>38</v>
      </c>
      <c r="AD25" s="22" t="s">
        <v>38</v>
      </c>
      <c r="AE25" s="22"/>
      <c r="AF25" s="17"/>
      <c r="AG25" s="17"/>
      <c r="AH25" s="17" t="s">
        <v>40</v>
      </c>
      <c r="AI25" s="17" t="s">
        <v>69</v>
      </c>
      <c r="AJ25" s="17"/>
      <c r="AK25" s="17"/>
      <c r="AL25" s="24" t="s">
        <v>182</v>
      </c>
      <c r="AM25" s="24"/>
      <c r="AN25" s="24"/>
      <c r="AO25" s="19">
        <v>46295</v>
      </c>
      <c r="AP25" s="17"/>
      <c r="AQ25" s="17" t="s">
        <v>125</v>
      </c>
      <c r="AR25" s="42" t="s">
        <v>126</v>
      </c>
      <c r="AS25" s="51" t="s">
        <v>149</v>
      </c>
      <c r="AT25" s="50" t="s">
        <v>503</v>
      </c>
      <c r="AU25" s="35">
        <f t="shared" si="0"/>
        <v>1</v>
      </c>
      <c r="AV25" s="35">
        <f t="shared" si="1"/>
        <v>2026</v>
      </c>
    </row>
    <row r="26" spans="1:48" ht="25">
      <c r="A26" s="17">
        <v>106</v>
      </c>
      <c r="B26" s="17">
        <v>1000000000006110</v>
      </c>
      <c r="C26" s="18" t="s">
        <v>199</v>
      </c>
      <c r="D26" s="18"/>
      <c r="E26" s="17" t="s">
        <v>194</v>
      </c>
      <c r="F26" s="17" t="s">
        <v>195</v>
      </c>
      <c r="G26" s="17" t="s">
        <v>121</v>
      </c>
      <c r="H26" s="17"/>
      <c r="I26" s="18" t="s">
        <v>200</v>
      </c>
      <c r="J26" s="18"/>
      <c r="K26" s="18" t="s">
        <v>197</v>
      </c>
      <c r="L26" s="18" t="s">
        <v>187</v>
      </c>
      <c r="M26" s="19">
        <v>44042</v>
      </c>
      <c r="N26" s="17"/>
      <c r="O26" s="17"/>
      <c r="P26" s="20">
        <v>606195144</v>
      </c>
      <c r="Q26" s="20">
        <v>239233722</v>
      </c>
      <c r="R26" s="21">
        <v>845428866</v>
      </c>
      <c r="S26" s="20">
        <v>84542886</v>
      </c>
      <c r="T26" s="21">
        <v>929971752</v>
      </c>
      <c r="U26" s="20">
        <v>393748937</v>
      </c>
      <c r="V26" s="20">
        <v>433123831</v>
      </c>
      <c r="W26" s="21">
        <v>496847921</v>
      </c>
      <c r="X26" s="21">
        <v>393748937</v>
      </c>
      <c r="Y26" s="21">
        <v>393748937</v>
      </c>
      <c r="Z26" s="22" t="s">
        <v>38</v>
      </c>
      <c r="AA26" s="22" t="s">
        <v>38</v>
      </c>
      <c r="AB26" s="21">
        <v>60619514</v>
      </c>
      <c r="AC26" s="21">
        <v>60619514</v>
      </c>
      <c r="AD26" s="22" t="s">
        <v>38</v>
      </c>
      <c r="AE26" s="22"/>
      <c r="AF26" s="17"/>
      <c r="AG26" s="17"/>
      <c r="AH26" s="17" t="s">
        <v>83</v>
      </c>
      <c r="AI26" s="17" t="s">
        <v>58</v>
      </c>
      <c r="AJ26" s="17"/>
      <c r="AK26" s="17" t="s">
        <v>154</v>
      </c>
      <c r="AL26" s="17"/>
      <c r="AM26" s="17"/>
      <c r="AN26" s="17"/>
      <c r="AO26" s="19">
        <v>46249</v>
      </c>
      <c r="AP26" s="17"/>
      <c r="AQ26" s="17" t="s">
        <v>125</v>
      </c>
      <c r="AR26" s="42" t="s">
        <v>132</v>
      </c>
      <c r="AS26" s="50" t="s">
        <v>201</v>
      </c>
      <c r="AT26" s="50"/>
      <c r="AU26" s="35">
        <f t="shared" si="0"/>
        <v>0</v>
      </c>
      <c r="AV26" s="35">
        <f t="shared" si="1"/>
        <v>2026</v>
      </c>
    </row>
    <row r="27" spans="1:48" ht="25">
      <c r="A27" s="17">
        <v>107</v>
      </c>
      <c r="B27" s="17">
        <v>1000000000006150</v>
      </c>
      <c r="C27" s="18" t="s">
        <v>202</v>
      </c>
      <c r="D27" s="18"/>
      <c r="E27" s="17" t="s">
        <v>194</v>
      </c>
      <c r="F27" s="17" t="s">
        <v>195</v>
      </c>
      <c r="G27" s="17" t="s">
        <v>121</v>
      </c>
      <c r="H27" s="17"/>
      <c r="I27" s="18" t="s">
        <v>203</v>
      </c>
      <c r="J27" s="18"/>
      <c r="K27" s="18" t="s">
        <v>197</v>
      </c>
      <c r="L27" s="18" t="s">
        <v>204</v>
      </c>
      <c r="M27" s="19">
        <v>44063</v>
      </c>
      <c r="N27" s="17"/>
      <c r="O27" s="17"/>
      <c r="P27" s="20">
        <v>4685880098</v>
      </c>
      <c r="Q27" s="23" t="s">
        <v>38</v>
      </c>
      <c r="R27" s="21">
        <v>4685880098</v>
      </c>
      <c r="S27" s="20">
        <v>468588010</v>
      </c>
      <c r="T27" s="21">
        <v>5154468108</v>
      </c>
      <c r="U27" s="23" t="s">
        <v>38</v>
      </c>
      <c r="V27" s="23" t="s">
        <v>38</v>
      </c>
      <c r="W27" s="21">
        <v>5154468108</v>
      </c>
      <c r="X27" s="21">
        <v>937176020</v>
      </c>
      <c r="Y27" s="21">
        <v>937176020</v>
      </c>
      <c r="Z27" s="22" t="s">
        <v>38</v>
      </c>
      <c r="AA27" s="22" t="s">
        <v>38</v>
      </c>
      <c r="AB27" s="21">
        <v>937176020</v>
      </c>
      <c r="AC27" s="22" t="s">
        <v>38</v>
      </c>
      <c r="AD27" s="21">
        <v>937176020</v>
      </c>
      <c r="AE27" s="22"/>
      <c r="AF27" s="17"/>
      <c r="AG27" s="17"/>
      <c r="AH27" s="17" t="s">
        <v>40</v>
      </c>
      <c r="AI27" s="17" t="s">
        <v>58</v>
      </c>
      <c r="AJ27" s="17"/>
      <c r="AK27" s="17" t="s">
        <v>131</v>
      </c>
      <c r="AL27" s="17"/>
      <c r="AM27" s="17"/>
      <c r="AN27" s="17"/>
      <c r="AO27" s="19">
        <v>46325</v>
      </c>
      <c r="AP27" s="17"/>
      <c r="AQ27" s="17" t="s">
        <v>125</v>
      </c>
      <c r="AR27" s="42" t="s">
        <v>132</v>
      </c>
      <c r="AS27" s="50" t="s">
        <v>145</v>
      </c>
      <c r="AT27" s="50" t="s">
        <v>503</v>
      </c>
      <c r="AU27" s="35">
        <f t="shared" si="0"/>
        <v>1</v>
      </c>
      <c r="AV27" s="35">
        <f t="shared" si="1"/>
        <v>2026</v>
      </c>
    </row>
    <row r="28" spans="1:48" ht="50">
      <c r="A28" s="17">
        <v>111</v>
      </c>
      <c r="B28" s="17">
        <v>1000000000006420</v>
      </c>
      <c r="C28" s="18" t="s">
        <v>205</v>
      </c>
      <c r="D28" s="18"/>
      <c r="E28" s="17" t="s">
        <v>194</v>
      </c>
      <c r="F28" s="17" t="s">
        <v>195</v>
      </c>
      <c r="G28" s="17" t="s">
        <v>121</v>
      </c>
      <c r="H28" s="17"/>
      <c r="I28" s="18" t="s">
        <v>130</v>
      </c>
      <c r="J28" s="18"/>
      <c r="K28" s="18" t="s">
        <v>197</v>
      </c>
      <c r="L28" s="18" t="s">
        <v>206</v>
      </c>
      <c r="M28" s="19">
        <v>44101</v>
      </c>
      <c r="N28" s="17"/>
      <c r="O28" s="17"/>
      <c r="P28" s="20">
        <v>12810800850</v>
      </c>
      <c r="Q28" s="20">
        <v>4589836563</v>
      </c>
      <c r="R28" s="21">
        <v>17400637413</v>
      </c>
      <c r="S28" s="20">
        <v>1740063741</v>
      </c>
      <c r="T28" s="21">
        <v>19140701154</v>
      </c>
      <c r="U28" s="20">
        <v>15968762887</v>
      </c>
      <c r="V28" s="20">
        <v>17565639175</v>
      </c>
      <c r="W28" s="21">
        <v>1575061979</v>
      </c>
      <c r="X28" s="21">
        <v>15962762887</v>
      </c>
      <c r="Y28" s="21">
        <v>15962762887</v>
      </c>
      <c r="Z28" s="22" t="s">
        <v>38</v>
      </c>
      <c r="AA28" s="22" t="s">
        <v>38</v>
      </c>
      <c r="AB28" s="21">
        <v>1281080085</v>
      </c>
      <c r="AC28" s="21">
        <v>1281080085</v>
      </c>
      <c r="AD28" s="22" t="s">
        <v>38</v>
      </c>
      <c r="AE28" s="22"/>
      <c r="AF28" s="17" t="s">
        <v>207</v>
      </c>
      <c r="AG28" s="17"/>
      <c r="AH28" s="17" t="s">
        <v>40</v>
      </c>
      <c r="AI28" s="17" t="s">
        <v>58</v>
      </c>
      <c r="AJ28" s="17"/>
      <c r="AK28" s="17" t="s">
        <v>131</v>
      </c>
      <c r="AL28" s="17"/>
      <c r="AM28" s="17"/>
      <c r="AN28" s="17"/>
      <c r="AO28" s="19">
        <v>46325</v>
      </c>
      <c r="AP28" s="17"/>
      <c r="AQ28" s="17" t="s">
        <v>125</v>
      </c>
      <c r="AR28" s="42" t="s">
        <v>132</v>
      </c>
      <c r="AS28" s="50" t="s">
        <v>145</v>
      </c>
      <c r="AT28" s="50" t="s">
        <v>503</v>
      </c>
      <c r="AU28" s="35">
        <f t="shared" si="0"/>
        <v>1</v>
      </c>
      <c r="AV28" s="35">
        <f t="shared" si="1"/>
        <v>2026</v>
      </c>
    </row>
    <row r="29" spans="1:48" ht="39">
      <c r="A29" s="2">
        <v>1</v>
      </c>
      <c r="B29" s="2">
        <v>1000000000006940</v>
      </c>
      <c r="C29" s="3" t="s">
        <v>31</v>
      </c>
      <c r="D29" s="2"/>
      <c r="E29" s="2" t="s">
        <v>32</v>
      </c>
      <c r="F29" s="2" t="s">
        <v>33</v>
      </c>
      <c r="G29" s="2" t="s">
        <v>34</v>
      </c>
      <c r="H29" s="2"/>
      <c r="I29" s="3" t="s">
        <v>35</v>
      </c>
      <c r="J29" s="3"/>
      <c r="K29" s="2" t="s">
        <v>36</v>
      </c>
      <c r="L29" s="3" t="s">
        <v>37</v>
      </c>
      <c r="M29" s="4">
        <v>44180</v>
      </c>
      <c r="N29" s="2"/>
      <c r="O29" s="2"/>
      <c r="P29" s="5">
        <v>24509000000</v>
      </c>
      <c r="Q29" s="6">
        <v>2814798977</v>
      </c>
      <c r="R29" s="6">
        <v>27323798977</v>
      </c>
      <c r="S29" s="6">
        <v>2404228117</v>
      </c>
      <c r="T29" s="6">
        <v>29728027094</v>
      </c>
      <c r="U29" s="7">
        <v>22921017150</v>
      </c>
      <c r="V29" s="7">
        <v>24884967085</v>
      </c>
      <c r="W29" s="8">
        <v>4843060009</v>
      </c>
      <c r="X29" s="8">
        <v>23728416228</v>
      </c>
      <c r="Y29" s="8">
        <v>18498161941</v>
      </c>
      <c r="Z29" s="9" t="s">
        <v>38</v>
      </c>
      <c r="AA29" s="8">
        <v>5230254287</v>
      </c>
      <c r="AB29" s="8">
        <v>2450900000</v>
      </c>
      <c r="AC29" s="8">
        <v>2450900000</v>
      </c>
      <c r="AD29" s="9" t="s">
        <v>38</v>
      </c>
      <c r="AE29" s="9"/>
      <c r="AF29" s="2"/>
      <c r="AG29" s="2" t="s">
        <v>39</v>
      </c>
      <c r="AH29" s="2" t="s">
        <v>40</v>
      </c>
      <c r="AI29" s="2" t="s">
        <v>41</v>
      </c>
      <c r="AJ29" s="2"/>
      <c r="AK29" s="2" t="s">
        <v>42</v>
      </c>
      <c r="AL29" s="2"/>
      <c r="AM29" s="2"/>
      <c r="AN29" s="2"/>
      <c r="AO29" s="4">
        <v>46244</v>
      </c>
      <c r="AP29" s="9"/>
      <c r="AQ29" s="10" t="s">
        <v>43</v>
      </c>
      <c r="AR29" s="9"/>
      <c r="AS29" s="47"/>
      <c r="AT29" s="46" t="s">
        <v>503</v>
      </c>
      <c r="AU29" s="35">
        <f t="shared" si="0"/>
        <v>1</v>
      </c>
      <c r="AV29" s="35">
        <f t="shared" si="1"/>
        <v>2026</v>
      </c>
    </row>
    <row r="30" spans="1:48" ht="39">
      <c r="A30" s="2">
        <v>2</v>
      </c>
      <c r="B30" s="11">
        <v>1000000000009220</v>
      </c>
      <c r="C30" s="12" t="s">
        <v>44</v>
      </c>
      <c r="D30" s="11"/>
      <c r="E30" s="11" t="s">
        <v>45</v>
      </c>
      <c r="F30" s="11" t="s">
        <v>46</v>
      </c>
      <c r="G30" s="11" t="s">
        <v>34</v>
      </c>
      <c r="H30" s="11"/>
      <c r="I30" s="12" t="s">
        <v>47</v>
      </c>
      <c r="J30" s="12"/>
      <c r="K30" s="11" t="s">
        <v>48</v>
      </c>
      <c r="L30" s="12" t="s">
        <v>49</v>
      </c>
      <c r="M30" s="13">
        <v>44431</v>
      </c>
      <c r="N30" s="11"/>
      <c r="O30" s="11"/>
      <c r="P30" s="5">
        <v>19299799799</v>
      </c>
      <c r="Q30" s="6">
        <v>561718927</v>
      </c>
      <c r="R30" s="6">
        <v>19861518726</v>
      </c>
      <c r="S30" s="6">
        <v>1635184815</v>
      </c>
      <c r="T30" s="6">
        <v>21496703541</v>
      </c>
      <c r="U30" s="7">
        <v>6710942781</v>
      </c>
      <c r="V30" s="7">
        <v>7294081520</v>
      </c>
      <c r="W30" s="8">
        <v>14202622021</v>
      </c>
      <c r="X30" s="8">
        <v>8775252438</v>
      </c>
      <c r="Y30" s="8">
        <v>8775252438</v>
      </c>
      <c r="Z30" s="9" t="s">
        <v>38</v>
      </c>
      <c r="AA30" s="9" t="s">
        <v>38</v>
      </c>
      <c r="AB30" s="8">
        <v>3859959960</v>
      </c>
      <c r="AC30" s="8">
        <v>2043241903</v>
      </c>
      <c r="AD30" s="5">
        <v>1816718057</v>
      </c>
      <c r="AE30" s="9"/>
      <c r="AF30" s="2"/>
      <c r="AG30" s="2"/>
      <c r="AH30" s="2" t="s">
        <v>50</v>
      </c>
      <c r="AI30" s="2" t="s">
        <v>41</v>
      </c>
      <c r="AJ30" s="2"/>
      <c r="AK30" s="2" t="s">
        <v>42</v>
      </c>
      <c r="AL30" s="2"/>
      <c r="AM30" s="2"/>
      <c r="AN30" s="2"/>
      <c r="AO30" s="4">
        <v>46295</v>
      </c>
      <c r="AP30" s="9"/>
      <c r="AQ30" s="10" t="s">
        <v>43</v>
      </c>
      <c r="AR30" s="9"/>
      <c r="AS30" s="9"/>
      <c r="AT30" s="17" t="s">
        <v>503</v>
      </c>
      <c r="AU30" s="35">
        <f t="shared" si="0"/>
        <v>1</v>
      </c>
      <c r="AV30" s="35">
        <f t="shared" si="1"/>
        <v>2026</v>
      </c>
    </row>
    <row r="31" spans="1:48" ht="39">
      <c r="A31" s="2">
        <v>3</v>
      </c>
      <c r="B31" s="2">
        <v>1000000000011700</v>
      </c>
      <c r="C31" s="3" t="s">
        <v>51</v>
      </c>
      <c r="D31" s="2"/>
      <c r="E31" s="2" t="s">
        <v>52</v>
      </c>
      <c r="F31" s="2" t="s">
        <v>53</v>
      </c>
      <c r="G31" s="2" t="s">
        <v>34</v>
      </c>
      <c r="H31" s="2"/>
      <c r="I31" s="3" t="s">
        <v>54</v>
      </c>
      <c r="J31" s="3"/>
      <c r="K31" s="2" t="s">
        <v>55</v>
      </c>
      <c r="L31" s="3" t="s">
        <v>56</v>
      </c>
      <c r="M31" s="4">
        <v>44742</v>
      </c>
      <c r="N31" s="2"/>
      <c r="O31" s="2"/>
      <c r="P31" s="5">
        <v>19573373000</v>
      </c>
      <c r="Q31" s="6">
        <v>-11547459000</v>
      </c>
      <c r="R31" s="6">
        <v>8025914000</v>
      </c>
      <c r="S31" s="6">
        <v>802591400</v>
      </c>
      <c r="T31" s="6">
        <v>8828505400</v>
      </c>
      <c r="U31" s="14" t="s">
        <v>57</v>
      </c>
      <c r="V31" s="14" t="s">
        <v>38</v>
      </c>
      <c r="W31" s="8">
        <v>8828505400</v>
      </c>
      <c r="X31" s="8">
        <v>3914674600</v>
      </c>
      <c r="Y31" s="8">
        <v>3914674600</v>
      </c>
      <c r="Z31" s="9" t="s">
        <v>38</v>
      </c>
      <c r="AA31" s="9" t="s">
        <v>38</v>
      </c>
      <c r="AB31" s="8">
        <v>3914674600</v>
      </c>
      <c r="AC31" s="9" t="s">
        <v>38</v>
      </c>
      <c r="AD31" s="8">
        <v>3914674600</v>
      </c>
      <c r="AE31" s="9"/>
      <c r="AF31" s="2"/>
      <c r="AG31" s="2"/>
      <c r="AH31" s="2" t="s">
        <v>40</v>
      </c>
      <c r="AI31" s="2" t="s">
        <v>58</v>
      </c>
      <c r="AJ31" s="2"/>
      <c r="AK31" s="2" t="s">
        <v>42</v>
      </c>
      <c r="AL31" s="2"/>
      <c r="AM31" s="2"/>
      <c r="AN31" s="2"/>
      <c r="AO31" s="4">
        <v>46259</v>
      </c>
      <c r="AP31" s="9"/>
      <c r="AQ31" s="10" t="s">
        <v>43</v>
      </c>
      <c r="AR31" s="9"/>
      <c r="AS31" s="9"/>
      <c r="AT31" s="17" t="s">
        <v>503</v>
      </c>
      <c r="AU31" s="35">
        <f t="shared" si="0"/>
        <v>1</v>
      </c>
      <c r="AV31" s="35">
        <f t="shared" si="1"/>
        <v>2026</v>
      </c>
    </row>
    <row r="32" spans="1:48" ht="39">
      <c r="A32" s="2">
        <v>4</v>
      </c>
      <c r="B32" s="2">
        <v>1000000000008910</v>
      </c>
      <c r="C32" s="3" t="s">
        <v>59</v>
      </c>
      <c r="D32" s="2"/>
      <c r="E32" s="2" t="s">
        <v>52</v>
      </c>
      <c r="F32" s="2" t="s">
        <v>53</v>
      </c>
      <c r="G32" s="2" t="s">
        <v>34</v>
      </c>
      <c r="H32" s="2"/>
      <c r="I32" s="3" t="s">
        <v>60</v>
      </c>
      <c r="J32" s="3"/>
      <c r="K32" s="2" t="s">
        <v>55</v>
      </c>
      <c r="L32" s="3" t="s">
        <v>61</v>
      </c>
      <c r="M32" s="4">
        <v>44320</v>
      </c>
      <c r="N32" s="2"/>
      <c r="O32" s="2"/>
      <c r="P32" s="5">
        <v>10000000000</v>
      </c>
      <c r="Q32" s="6">
        <v>3850336993</v>
      </c>
      <c r="R32" s="6">
        <v>13850336993</v>
      </c>
      <c r="S32" s="6">
        <v>1258190701</v>
      </c>
      <c r="T32" s="6">
        <v>15108527694</v>
      </c>
      <c r="U32" s="7">
        <v>11623299629</v>
      </c>
      <c r="V32" s="7">
        <v>12658786593</v>
      </c>
      <c r="W32" s="8">
        <v>2449741101</v>
      </c>
      <c r="X32" s="8">
        <v>12056621612</v>
      </c>
      <c r="Y32" s="8">
        <v>8742244025</v>
      </c>
      <c r="Z32" s="9" t="s">
        <v>38</v>
      </c>
      <c r="AA32" s="8">
        <v>3314377587</v>
      </c>
      <c r="AB32" s="9" t="s">
        <v>38</v>
      </c>
      <c r="AC32" s="9" t="s">
        <v>38</v>
      </c>
      <c r="AD32" s="9" t="s">
        <v>38</v>
      </c>
      <c r="AE32" s="9"/>
      <c r="AF32" s="2"/>
      <c r="AG32" s="2"/>
      <c r="AH32" s="2" t="s">
        <v>50</v>
      </c>
      <c r="AI32" s="2" t="s">
        <v>41</v>
      </c>
      <c r="AJ32" s="2"/>
      <c r="AK32" s="2" t="s">
        <v>42</v>
      </c>
      <c r="AL32" s="2"/>
      <c r="AM32" s="2"/>
      <c r="AN32" s="2"/>
      <c r="AO32" s="4">
        <v>46387</v>
      </c>
      <c r="AP32" s="9" t="s">
        <v>62</v>
      </c>
      <c r="AQ32" s="10" t="s">
        <v>43</v>
      </c>
      <c r="AR32" s="9"/>
      <c r="AS32" s="9"/>
      <c r="AT32" s="17" t="s">
        <v>503</v>
      </c>
      <c r="AU32" s="35">
        <f t="shared" si="0"/>
        <v>1</v>
      </c>
      <c r="AV32" s="35">
        <f t="shared" si="1"/>
        <v>2026</v>
      </c>
    </row>
    <row r="33" spans="1:48" ht="39">
      <c r="A33" s="2">
        <v>5</v>
      </c>
      <c r="B33" s="2">
        <v>1000000000007000</v>
      </c>
      <c r="C33" s="3" t="s">
        <v>63</v>
      </c>
      <c r="D33" s="2"/>
      <c r="E33" s="2" t="s">
        <v>64</v>
      </c>
      <c r="F33" s="2" t="s">
        <v>65</v>
      </c>
      <c r="G33" s="2" t="s">
        <v>34</v>
      </c>
      <c r="H33" s="2"/>
      <c r="I33" s="3" t="s">
        <v>66</v>
      </c>
      <c r="J33" s="3"/>
      <c r="K33" s="2" t="s">
        <v>67</v>
      </c>
      <c r="L33" s="3" t="s">
        <v>68</v>
      </c>
      <c r="M33" s="4">
        <v>44204</v>
      </c>
      <c r="N33" s="2"/>
      <c r="O33" s="2"/>
      <c r="P33" s="5">
        <v>66423220161</v>
      </c>
      <c r="Q33" s="6">
        <v>3551726666</v>
      </c>
      <c r="R33" s="6">
        <v>69974946827</v>
      </c>
      <c r="S33" s="6">
        <v>6164196424</v>
      </c>
      <c r="T33" s="6">
        <v>76139143251</v>
      </c>
      <c r="U33" s="7">
        <v>48768327284</v>
      </c>
      <c r="V33" s="7">
        <v>53235994143</v>
      </c>
      <c r="W33" s="8">
        <v>22903149108</v>
      </c>
      <c r="X33" s="8">
        <v>50844599616</v>
      </c>
      <c r="Y33" s="8">
        <v>39007626974</v>
      </c>
      <c r="Z33" s="9" t="s">
        <v>38</v>
      </c>
      <c r="AA33" s="8">
        <v>11836972642</v>
      </c>
      <c r="AB33" s="9" t="s">
        <v>38</v>
      </c>
      <c r="AC33" s="9" t="s">
        <v>38</v>
      </c>
      <c r="AD33" s="9" t="s">
        <v>38</v>
      </c>
      <c r="AE33" s="9"/>
      <c r="AF33" s="2"/>
      <c r="AG33" s="2"/>
      <c r="AH33" s="2" t="s">
        <v>40</v>
      </c>
      <c r="AI33" s="2" t="s">
        <v>69</v>
      </c>
      <c r="AJ33" s="2"/>
      <c r="AK33" s="2" t="s">
        <v>70</v>
      </c>
      <c r="AL33" s="2" t="s">
        <v>42</v>
      </c>
      <c r="AM33" s="2"/>
      <c r="AN33" s="2"/>
      <c r="AO33" s="4">
        <v>46356</v>
      </c>
      <c r="AP33" s="9"/>
      <c r="AQ33" s="10" t="s">
        <v>43</v>
      </c>
      <c r="AR33" s="9"/>
      <c r="AS33" s="9"/>
      <c r="AT33" s="17" t="s">
        <v>503</v>
      </c>
      <c r="AU33" s="35">
        <f t="shared" si="0"/>
        <v>1</v>
      </c>
      <c r="AV33" s="35">
        <f t="shared" si="1"/>
        <v>2026</v>
      </c>
    </row>
    <row r="34" spans="1:48" ht="39">
      <c r="A34" s="2">
        <v>6</v>
      </c>
      <c r="B34" s="2">
        <v>1000000000008720</v>
      </c>
      <c r="C34" s="3" t="s">
        <v>71</v>
      </c>
      <c r="D34" s="2"/>
      <c r="E34" s="2" t="s">
        <v>52</v>
      </c>
      <c r="F34" s="2" t="s">
        <v>53</v>
      </c>
      <c r="G34" s="2" t="s">
        <v>34</v>
      </c>
      <c r="H34" s="2"/>
      <c r="I34" s="3" t="s">
        <v>72</v>
      </c>
      <c r="J34" s="3"/>
      <c r="K34" s="2" t="s">
        <v>55</v>
      </c>
      <c r="L34" s="3" t="s">
        <v>73</v>
      </c>
      <c r="M34" s="4">
        <v>44363</v>
      </c>
      <c r="N34" s="2"/>
      <c r="O34" s="2"/>
      <c r="P34" s="5">
        <v>72604927090</v>
      </c>
      <c r="Q34" s="6">
        <v>14337933796</v>
      </c>
      <c r="R34" s="6">
        <v>86942860886</v>
      </c>
      <c r="S34" s="6">
        <v>7051147753</v>
      </c>
      <c r="T34" s="6">
        <v>93994008639</v>
      </c>
      <c r="U34" s="7">
        <v>17844623059</v>
      </c>
      <c r="V34" s="7">
        <v>19367911788</v>
      </c>
      <c r="W34" s="8">
        <v>74626096851</v>
      </c>
      <c r="X34" s="8">
        <v>18468680635</v>
      </c>
      <c r="Y34" s="8">
        <v>15703846507</v>
      </c>
      <c r="Z34" s="9" t="s">
        <v>38</v>
      </c>
      <c r="AA34" s="8">
        <v>2764834128</v>
      </c>
      <c r="AB34" s="8">
        <v>7260492709</v>
      </c>
      <c r="AC34" s="8">
        <v>7260492709</v>
      </c>
      <c r="AD34" s="9" t="s">
        <v>38</v>
      </c>
      <c r="AE34" s="9"/>
      <c r="AF34" s="2"/>
      <c r="AG34" s="2"/>
      <c r="AH34" s="2" t="s">
        <v>50</v>
      </c>
      <c r="AI34" s="2" t="s">
        <v>41</v>
      </c>
      <c r="AJ34" s="2"/>
      <c r="AK34" s="2" t="s">
        <v>42</v>
      </c>
      <c r="AL34" s="2"/>
      <c r="AM34" s="2"/>
      <c r="AN34" s="2"/>
      <c r="AO34" s="4">
        <v>46387</v>
      </c>
      <c r="AP34" s="9" t="s">
        <v>62</v>
      </c>
      <c r="AQ34" s="10" t="s">
        <v>43</v>
      </c>
      <c r="AR34" s="9"/>
      <c r="AS34" s="9"/>
      <c r="AT34" s="17" t="s">
        <v>503</v>
      </c>
      <c r="AU34" s="35">
        <f t="shared" si="0"/>
        <v>1</v>
      </c>
      <c r="AV34" s="35">
        <f t="shared" si="1"/>
        <v>2026</v>
      </c>
    </row>
    <row r="35" spans="1:48" ht="39">
      <c r="A35" s="2">
        <v>7</v>
      </c>
      <c r="B35" s="2">
        <v>1000000000009220</v>
      </c>
      <c r="C35" s="3" t="s">
        <v>74</v>
      </c>
      <c r="D35" s="2"/>
      <c r="E35" s="2" t="s">
        <v>64</v>
      </c>
      <c r="F35" s="2" t="s">
        <v>65</v>
      </c>
      <c r="G35" s="2" t="s">
        <v>34</v>
      </c>
      <c r="H35" s="2"/>
      <c r="I35" s="3" t="s">
        <v>75</v>
      </c>
      <c r="J35" s="3"/>
      <c r="K35" s="2" t="s">
        <v>67</v>
      </c>
      <c r="L35" s="3" t="s">
        <v>49</v>
      </c>
      <c r="M35" s="4">
        <v>44433</v>
      </c>
      <c r="N35" s="2"/>
      <c r="O35" s="2"/>
      <c r="P35" s="5">
        <v>23854244244</v>
      </c>
      <c r="Q35" s="6">
        <v>1737078139</v>
      </c>
      <c r="R35" s="6">
        <v>25591322383</v>
      </c>
      <c r="S35" s="6">
        <v>2104342879</v>
      </c>
      <c r="T35" s="6">
        <v>27695665262</v>
      </c>
      <c r="U35" s="7">
        <v>10243219020</v>
      </c>
      <c r="V35" s="7">
        <v>11119713631</v>
      </c>
      <c r="W35" s="8">
        <v>16575951631</v>
      </c>
      <c r="X35" s="8">
        <v>13599588109</v>
      </c>
      <c r="Y35" s="8">
        <v>12928295482</v>
      </c>
      <c r="Z35" s="9" t="s">
        <v>38</v>
      </c>
      <c r="AA35" s="8">
        <v>671292627</v>
      </c>
      <c r="AB35" s="8">
        <v>4770848849</v>
      </c>
      <c r="AC35" s="8">
        <v>2253066981</v>
      </c>
      <c r="AD35" s="8">
        <v>2517781868</v>
      </c>
      <c r="AE35" s="9"/>
      <c r="AF35" s="2"/>
      <c r="AG35" s="2"/>
      <c r="AH35" s="2" t="s">
        <v>50</v>
      </c>
      <c r="AI35" s="2" t="s">
        <v>58</v>
      </c>
      <c r="AJ35" s="2"/>
      <c r="AK35" s="2" t="s">
        <v>42</v>
      </c>
      <c r="AL35" s="2"/>
      <c r="AM35" s="2"/>
      <c r="AN35" s="2"/>
      <c r="AO35" s="4">
        <v>46264</v>
      </c>
      <c r="AP35" s="9"/>
      <c r="AQ35" s="10" t="s">
        <v>43</v>
      </c>
      <c r="AR35" s="9"/>
      <c r="AS35" s="9"/>
      <c r="AT35" s="17" t="s">
        <v>502</v>
      </c>
      <c r="AU35" s="35">
        <f t="shared" si="0"/>
        <v>1</v>
      </c>
      <c r="AV35" s="35">
        <f t="shared" si="1"/>
        <v>2026</v>
      </c>
    </row>
    <row r="36" spans="1:48" ht="39">
      <c r="A36" s="2">
        <v>8</v>
      </c>
      <c r="B36" s="2">
        <v>1000000000011450</v>
      </c>
      <c r="C36" s="3" t="s">
        <v>76</v>
      </c>
      <c r="D36" s="2"/>
      <c r="E36" s="2" t="s">
        <v>77</v>
      </c>
      <c r="F36" s="2" t="s">
        <v>78</v>
      </c>
      <c r="G36" s="2" t="s">
        <v>34</v>
      </c>
      <c r="H36" s="2"/>
      <c r="I36" s="3" t="s">
        <v>79</v>
      </c>
      <c r="J36" s="3"/>
      <c r="K36" s="2" t="s">
        <v>80</v>
      </c>
      <c r="L36" s="3" t="s">
        <v>37</v>
      </c>
      <c r="M36" s="4">
        <v>44735</v>
      </c>
      <c r="N36" s="2"/>
      <c r="O36" s="2"/>
      <c r="P36" s="5">
        <v>21733575055</v>
      </c>
      <c r="Q36" s="6">
        <v>-15805957865</v>
      </c>
      <c r="R36" s="6">
        <v>5927617190</v>
      </c>
      <c r="S36" s="6">
        <v>474209375</v>
      </c>
      <c r="T36" s="6">
        <v>6401826565</v>
      </c>
      <c r="U36" s="7">
        <v>3409266622</v>
      </c>
      <c r="V36" s="7">
        <v>3682007952</v>
      </c>
      <c r="W36" s="8">
        <v>2719818613</v>
      </c>
      <c r="X36" s="8">
        <v>4346715011</v>
      </c>
      <c r="Y36" s="8">
        <v>4346715011</v>
      </c>
      <c r="Z36" s="9" t="s">
        <v>38</v>
      </c>
      <c r="AA36" s="9" t="s">
        <v>38</v>
      </c>
      <c r="AB36" s="8">
        <v>4346715011</v>
      </c>
      <c r="AC36" s="8">
        <v>3511544621</v>
      </c>
      <c r="AD36" s="8">
        <v>835170390</v>
      </c>
      <c r="AE36" s="9"/>
      <c r="AF36" s="2"/>
      <c r="AG36" s="2"/>
      <c r="AH36" s="2" t="s">
        <v>50</v>
      </c>
      <c r="AI36" s="2" t="s">
        <v>58</v>
      </c>
      <c r="AJ36" s="2"/>
      <c r="AK36" s="2" t="s">
        <v>42</v>
      </c>
      <c r="AL36" s="2"/>
      <c r="AM36" s="2"/>
      <c r="AN36" s="2"/>
      <c r="AO36" s="4">
        <v>46254</v>
      </c>
      <c r="AP36" s="9"/>
      <c r="AQ36" s="10" t="s">
        <v>43</v>
      </c>
      <c r="AR36" s="9"/>
      <c r="AS36" s="9"/>
      <c r="AT36" s="17" t="s">
        <v>502</v>
      </c>
      <c r="AU36" s="35">
        <f t="shared" si="0"/>
        <v>1</v>
      </c>
      <c r="AV36" s="35">
        <f t="shared" si="1"/>
        <v>2026</v>
      </c>
    </row>
    <row r="37" spans="1:48" ht="39">
      <c r="A37" s="2">
        <v>9</v>
      </c>
      <c r="B37" s="2">
        <v>1000000000011720</v>
      </c>
      <c r="C37" s="3" t="s">
        <v>81</v>
      </c>
      <c r="D37" s="2"/>
      <c r="E37" s="2" t="s">
        <v>77</v>
      </c>
      <c r="F37" s="2" t="s">
        <v>78</v>
      </c>
      <c r="G37" s="2" t="s">
        <v>34</v>
      </c>
      <c r="H37" s="2"/>
      <c r="I37" s="3" t="s">
        <v>82</v>
      </c>
      <c r="J37" s="3"/>
      <c r="K37" s="2" t="s">
        <v>80</v>
      </c>
      <c r="L37" s="3" t="s">
        <v>37</v>
      </c>
      <c r="M37" s="4">
        <v>44785</v>
      </c>
      <c r="N37" s="2"/>
      <c r="O37" s="2"/>
      <c r="P37" s="5">
        <v>28677790000</v>
      </c>
      <c r="Q37" s="15"/>
      <c r="R37" s="6">
        <v>28677790000</v>
      </c>
      <c r="S37" s="6">
        <v>2867779000</v>
      </c>
      <c r="T37" s="6">
        <v>31545569000</v>
      </c>
      <c r="U37" s="7">
        <v>10529550215</v>
      </c>
      <c r="V37" s="7">
        <v>11582505237</v>
      </c>
      <c r="W37" s="8">
        <v>19963063763</v>
      </c>
      <c r="X37" s="8">
        <v>14455478786</v>
      </c>
      <c r="Y37" s="8">
        <v>8603337000</v>
      </c>
      <c r="Z37" s="9" t="s">
        <v>38</v>
      </c>
      <c r="AA37" s="8">
        <v>5852141786</v>
      </c>
      <c r="AB37" s="8">
        <v>8603337000</v>
      </c>
      <c r="AC37" s="8">
        <v>2879512058</v>
      </c>
      <c r="AD37" s="8">
        <v>5723824942</v>
      </c>
      <c r="AE37" s="9"/>
      <c r="AF37" s="2"/>
      <c r="AG37" s="2"/>
      <c r="AH37" s="2" t="s">
        <v>83</v>
      </c>
      <c r="AI37" s="2" t="s">
        <v>58</v>
      </c>
      <c r="AJ37" s="2"/>
      <c r="AK37" s="2" t="s">
        <v>42</v>
      </c>
      <c r="AL37" s="2"/>
      <c r="AM37" s="2"/>
      <c r="AN37" s="2"/>
      <c r="AO37" s="4">
        <v>46386</v>
      </c>
      <c r="AP37" s="9"/>
      <c r="AQ37" s="10" t="s">
        <v>43</v>
      </c>
      <c r="AR37" s="9"/>
      <c r="AS37" s="9"/>
      <c r="AT37" s="17" t="s">
        <v>502</v>
      </c>
      <c r="AU37" s="35">
        <f t="shared" si="0"/>
        <v>1</v>
      </c>
      <c r="AV37" s="35">
        <f t="shared" si="1"/>
        <v>2026</v>
      </c>
    </row>
    <row r="38" spans="1:48" ht="39">
      <c r="A38" s="2">
        <v>10</v>
      </c>
      <c r="B38" s="2">
        <v>1000000000004780</v>
      </c>
      <c r="C38" s="3" t="s">
        <v>84</v>
      </c>
      <c r="D38" s="2"/>
      <c r="E38" s="2" t="s">
        <v>52</v>
      </c>
      <c r="F38" s="2" t="s">
        <v>53</v>
      </c>
      <c r="G38" s="2" t="s">
        <v>34</v>
      </c>
      <c r="H38" s="2"/>
      <c r="I38" s="3" t="s">
        <v>85</v>
      </c>
      <c r="J38" s="3"/>
      <c r="K38" s="2" t="s">
        <v>86</v>
      </c>
      <c r="L38" s="3" t="s">
        <v>87</v>
      </c>
      <c r="M38" s="4">
        <v>43600</v>
      </c>
      <c r="N38" s="2"/>
      <c r="O38" s="2"/>
      <c r="P38" s="5">
        <v>212750000</v>
      </c>
      <c r="Q38" s="15"/>
      <c r="R38" s="6">
        <v>212750000</v>
      </c>
      <c r="S38" s="6">
        <v>21275000</v>
      </c>
      <c r="T38" s="6">
        <v>234025000</v>
      </c>
      <c r="U38" s="7">
        <v>212750000</v>
      </c>
      <c r="V38" s="7">
        <v>234025000</v>
      </c>
      <c r="W38" s="9" t="s">
        <v>38</v>
      </c>
      <c r="X38" s="8">
        <v>234025000</v>
      </c>
      <c r="Y38" s="8">
        <v>234025000</v>
      </c>
      <c r="Z38" s="9" t="s">
        <v>38</v>
      </c>
      <c r="AA38" s="9" t="s">
        <v>38</v>
      </c>
      <c r="AB38" s="9" t="s">
        <v>38</v>
      </c>
      <c r="AC38" s="9" t="s">
        <v>38</v>
      </c>
      <c r="AD38" s="9" t="s">
        <v>38</v>
      </c>
      <c r="AE38" s="9"/>
      <c r="AF38" s="2"/>
      <c r="AG38" s="2"/>
      <c r="AH38" s="2" t="s">
        <v>40</v>
      </c>
      <c r="AI38" s="2" t="s">
        <v>88</v>
      </c>
      <c r="AJ38" s="2"/>
      <c r="AK38" s="2"/>
      <c r="AL38" s="2"/>
      <c r="AM38" s="2"/>
      <c r="AN38" s="2"/>
      <c r="AO38" s="2"/>
      <c r="AP38" s="9"/>
      <c r="AQ38" s="10" t="s">
        <v>43</v>
      </c>
      <c r="AR38" s="9"/>
      <c r="AS38" s="9"/>
      <c r="AT38" s="50" t="s">
        <v>503</v>
      </c>
      <c r="AU38" s="35">
        <f t="shared" si="0"/>
        <v>1</v>
      </c>
      <c r="AV38" s="35">
        <f t="shared" si="1"/>
        <v>1900</v>
      </c>
    </row>
    <row r="39" spans="1:48" ht="39">
      <c r="A39" s="2">
        <v>11</v>
      </c>
      <c r="B39" s="2">
        <v>1000000000004800</v>
      </c>
      <c r="C39" s="3" t="s">
        <v>89</v>
      </c>
      <c r="D39" s="2"/>
      <c r="E39" s="2" t="s">
        <v>52</v>
      </c>
      <c r="F39" s="2" t="s">
        <v>53</v>
      </c>
      <c r="G39" s="2" t="s">
        <v>34</v>
      </c>
      <c r="H39" s="2"/>
      <c r="I39" s="3" t="s">
        <v>90</v>
      </c>
      <c r="J39" s="3"/>
      <c r="K39" s="2" t="s">
        <v>86</v>
      </c>
      <c r="L39" s="3" t="s">
        <v>91</v>
      </c>
      <c r="M39" s="4">
        <v>43600</v>
      </c>
      <c r="N39" s="2"/>
      <c r="O39" s="2"/>
      <c r="P39" s="5">
        <v>279350000</v>
      </c>
      <c r="Q39" s="15"/>
      <c r="R39" s="6">
        <v>279350000</v>
      </c>
      <c r="S39" s="6">
        <v>27935000</v>
      </c>
      <c r="T39" s="6">
        <v>307285000</v>
      </c>
      <c r="U39" s="7">
        <v>279350000</v>
      </c>
      <c r="V39" s="7">
        <v>307285000</v>
      </c>
      <c r="W39" s="9" t="s">
        <v>38</v>
      </c>
      <c r="X39" s="8">
        <v>307285000</v>
      </c>
      <c r="Y39" s="8">
        <v>307285000</v>
      </c>
      <c r="Z39" s="9" t="s">
        <v>38</v>
      </c>
      <c r="AA39" s="9" t="s">
        <v>38</v>
      </c>
      <c r="AB39" s="9" t="s">
        <v>38</v>
      </c>
      <c r="AC39" s="9" t="s">
        <v>38</v>
      </c>
      <c r="AD39" s="9" t="s">
        <v>38</v>
      </c>
      <c r="AE39" s="9"/>
      <c r="AF39" s="2"/>
      <c r="AG39" s="2"/>
      <c r="AH39" s="2" t="s">
        <v>40</v>
      </c>
      <c r="AI39" s="2" t="s">
        <v>88</v>
      </c>
      <c r="AJ39" s="2"/>
      <c r="AK39" s="2"/>
      <c r="AL39" s="2"/>
      <c r="AM39" s="2"/>
      <c r="AN39" s="2"/>
      <c r="AO39" s="2"/>
      <c r="AP39" s="9"/>
      <c r="AQ39" s="10" t="s">
        <v>43</v>
      </c>
      <c r="AR39" s="9"/>
      <c r="AS39" s="9"/>
      <c r="AT39" s="50" t="s">
        <v>503</v>
      </c>
      <c r="AU39" s="35">
        <f t="shared" si="0"/>
        <v>1</v>
      </c>
      <c r="AV39" s="35">
        <f t="shared" si="1"/>
        <v>1900</v>
      </c>
    </row>
    <row r="40" spans="1:48" ht="39">
      <c r="A40" s="2">
        <v>12</v>
      </c>
      <c r="B40" s="2">
        <v>1000000000005360</v>
      </c>
      <c r="C40" s="3" t="s">
        <v>92</v>
      </c>
      <c r="D40" s="2"/>
      <c r="E40" s="2" t="s">
        <v>52</v>
      </c>
      <c r="F40" s="2" t="s">
        <v>53</v>
      </c>
      <c r="G40" s="2" t="s">
        <v>34</v>
      </c>
      <c r="H40" s="2"/>
      <c r="I40" s="3" t="s">
        <v>93</v>
      </c>
      <c r="J40" s="3"/>
      <c r="K40" s="2" t="s">
        <v>86</v>
      </c>
      <c r="L40" s="3" t="s">
        <v>94</v>
      </c>
      <c r="M40" s="4">
        <v>43733</v>
      </c>
      <c r="N40" s="2"/>
      <c r="O40" s="2"/>
      <c r="P40" s="5">
        <v>3303750000</v>
      </c>
      <c r="Q40" s="6">
        <v>1091589394</v>
      </c>
      <c r="R40" s="6">
        <v>4395339394</v>
      </c>
      <c r="S40" s="6">
        <v>439533939</v>
      </c>
      <c r="T40" s="6">
        <v>4834873333</v>
      </c>
      <c r="U40" s="7">
        <v>4395339394</v>
      </c>
      <c r="V40" s="7">
        <v>4834873333</v>
      </c>
      <c r="W40" s="9" t="s">
        <v>38</v>
      </c>
      <c r="X40" s="8">
        <v>4834873333</v>
      </c>
      <c r="Y40" s="8">
        <v>4834873333</v>
      </c>
      <c r="Z40" s="9" t="s">
        <v>38</v>
      </c>
      <c r="AA40" s="9" t="s">
        <v>38</v>
      </c>
      <c r="AB40" s="9" t="s">
        <v>38</v>
      </c>
      <c r="AC40" s="9" t="s">
        <v>38</v>
      </c>
      <c r="AD40" s="9" t="s">
        <v>38</v>
      </c>
      <c r="AE40" s="9"/>
      <c r="AF40" s="2"/>
      <c r="AG40" s="2"/>
      <c r="AH40" s="2" t="s">
        <v>40</v>
      </c>
      <c r="AI40" s="2" t="s">
        <v>88</v>
      </c>
      <c r="AJ40" s="2"/>
      <c r="AK40" s="2"/>
      <c r="AL40" s="2"/>
      <c r="AM40" s="2"/>
      <c r="AN40" s="2"/>
      <c r="AO40" s="2"/>
      <c r="AP40" s="9"/>
      <c r="AQ40" s="10" t="s">
        <v>43</v>
      </c>
      <c r="AR40" s="9"/>
      <c r="AS40" s="9"/>
      <c r="AT40" s="50" t="s">
        <v>503</v>
      </c>
      <c r="AU40" s="35">
        <f t="shared" si="0"/>
        <v>1</v>
      </c>
      <c r="AV40" s="35">
        <f t="shared" si="1"/>
        <v>1900</v>
      </c>
    </row>
    <row r="41" spans="1:48" ht="39">
      <c r="A41" s="2">
        <v>13</v>
      </c>
      <c r="B41" s="2">
        <v>1000000000005480</v>
      </c>
      <c r="C41" s="3" t="s">
        <v>95</v>
      </c>
      <c r="D41" s="2"/>
      <c r="E41" s="2" t="s">
        <v>52</v>
      </c>
      <c r="F41" s="2" t="s">
        <v>53</v>
      </c>
      <c r="G41" s="2" t="s">
        <v>34</v>
      </c>
      <c r="H41" s="2"/>
      <c r="I41" s="3" t="s">
        <v>96</v>
      </c>
      <c r="J41" s="3"/>
      <c r="K41" s="2" t="s">
        <v>86</v>
      </c>
      <c r="L41" s="3" t="s">
        <v>97</v>
      </c>
      <c r="M41" s="4">
        <v>43777</v>
      </c>
      <c r="N41" s="2"/>
      <c r="O41" s="2"/>
      <c r="P41" s="5">
        <v>10744343730</v>
      </c>
      <c r="Q41" s="6">
        <v>2261426581</v>
      </c>
      <c r="R41" s="6">
        <v>13005770311</v>
      </c>
      <c r="S41" s="6">
        <v>1300577030</v>
      </c>
      <c r="T41" s="6">
        <v>14306347341</v>
      </c>
      <c r="U41" s="7">
        <v>13005770311</v>
      </c>
      <c r="V41" s="7">
        <v>14306347341</v>
      </c>
      <c r="W41" s="9" t="s">
        <v>38</v>
      </c>
      <c r="X41" s="8">
        <v>14306347341</v>
      </c>
      <c r="Y41" s="8">
        <v>13272286721</v>
      </c>
      <c r="Z41" s="9" t="s">
        <v>38</v>
      </c>
      <c r="AA41" s="8">
        <v>1034060620</v>
      </c>
      <c r="AB41" s="8">
        <v>1611651560</v>
      </c>
      <c r="AC41" s="8">
        <v>1611651560</v>
      </c>
      <c r="AD41" s="9" t="s">
        <v>38</v>
      </c>
      <c r="AE41" s="9"/>
      <c r="AF41" s="2"/>
      <c r="AG41" s="2"/>
      <c r="AH41" s="2" t="s">
        <v>40</v>
      </c>
      <c r="AI41" s="2" t="s">
        <v>88</v>
      </c>
      <c r="AJ41" s="2"/>
      <c r="AK41" s="2" t="s">
        <v>98</v>
      </c>
      <c r="AL41" s="2"/>
      <c r="AM41" s="2"/>
      <c r="AN41" s="2"/>
      <c r="AO41" s="2"/>
      <c r="AP41" s="9"/>
      <c r="AQ41" s="10" t="s">
        <v>43</v>
      </c>
      <c r="AR41" s="9"/>
      <c r="AS41" s="9"/>
      <c r="AT41" s="50" t="s">
        <v>503</v>
      </c>
      <c r="AU41" s="35">
        <f t="shared" si="0"/>
        <v>1</v>
      </c>
      <c r="AV41" s="35">
        <f t="shared" si="1"/>
        <v>1900</v>
      </c>
    </row>
    <row r="42" spans="1:48" ht="39">
      <c r="A42" s="2">
        <v>14</v>
      </c>
      <c r="B42" s="2">
        <v>1000000000005520</v>
      </c>
      <c r="C42" s="3" t="s">
        <v>99</v>
      </c>
      <c r="D42" s="2"/>
      <c r="E42" s="2" t="s">
        <v>52</v>
      </c>
      <c r="F42" s="2" t="s">
        <v>53</v>
      </c>
      <c r="G42" s="2" t="s">
        <v>34</v>
      </c>
      <c r="H42" s="2"/>
      <c r="I42" s="3" t="s">
        <v>100</v>
      </c>
      <c r="J42" s="3"/>
      <c r="K42" s="2" t="s">
        <v>86</v>
      </c>
      <c r="L42" s="3" t="s">
        <v>94</v>
      </c>
      <c r="M42" s="4">
        <v>43847</v>
      </c>
      <c r="N42" s="2"/>
      <c r="O42" s="2"/>
      <c r="P42" s="5">
        <v>27072727273</v>
      </c>
      <c r="Q42" s="6">
        <v>2232548370</v>
      </c>
      <c r="R42" s="6">
        <v>29305275643</v>
      </c>
      <c r="S42" s="6">
        <v>2930527564</v>
      </c>
      <c r="T42" s="6">
        <v>32235803207</v>
      </c>
      <c r="U42" s="7">
        <v>29305275643</v>
      </c>
      <c r="V42" s="7">
        <v>32235803207</v>
      </c>
      <c r="W42" s="9" t="s">
        <v>38</v>
      </c>
      <c r="X42" s="8">
        <v>32235803207</v>
      </c>
      <c r="Y42" s="8">
        <v>32235803207</v>
      </c>
      <c r="Z42" s="9" t="s">
        <v>38</v>
      </c>
      <c r="AA42" s="9" t="s">
        <v>38</v>
      </c>
      <c r="AB42" s="9" t="s">
        <v>38</v>
      </c>
      <c r="AC42" s="9" t="s">
        <v>38</v>
      </c>
      <c r="AD42" s="9" t="s">
        <v>38</v>
      </c>
      <c r="AE42" s="9"/>
      <c r="AF42" s="2"/>
      <c r="AG42" s="2"/>
      <c r="AH42" s="2" t="s">
        <v>40</v>
      </c>
      <c r="AI42" s="2" t="s">
        <v>88</v>
      </c>
      <c r="AJ42" s="2"/>
      <c r="AK42" s="2" t="s">
        <v>98</v>
      </c>
      <c r="AL42" s="2"/>
      <c r="AM42" s="2"/>
      <c r="AN42" s="2"/>
      <c r="AO42" s="2"/>
      <c r="AP42" s="9"/>
      <c r="AQ42" s="10" t="s">
        <v>43</v>
      </c>
      <c r="AR42" s="9"/>
      <c r="AS42" s="9"/>
      <c r="AT42" s="50" t="s">
        <v>503</v>
      </c>
      <c r="AU42" s="35">
        <f t="shared" si="0"/>
        <v>1</v>
      </c>
      <c r="AV42" s="35">
        <f t="shared" si="1"/>
        <v>1900</v>
      </c>
    </row>
    <row r="43" spans="1:48" ht="39">
      <c r="A43" s="2">
        <v>15</v>
      </c>
      <c r="B43" s="2">
        <v>1000000000005590</v>
      </c>
      <c r="C43" s="3" t="s">
        <v>101</v>
      </c>
      <c r="D43" s="2"/>
      <c r="E43" s="2" t="s">
        <v>52</v>
      </c>
      <c r="F43" s="2" t="s">
        <v>53</v>
      </c>
      <c r="G43" s="2" t="s">
        <v>34</v>
      </c>
      <c r="H43" s="2"/>
      <c r="I43" s="3" t="s">
        <v>102</v>
      </c>
      <c r="J43" s="3"/>
      <c r="K43" s="2" t="s">
        <v>86</v>
      </c>
      <c r="L43" s="3" t="s">
        <v>103</v>
      </c>
      <c r="M43" s="4">
        <v>43804</v>
      </c>
      <c r="N43" s="2"/>
      <c r="O43" s="2"/>
      <c r="P43" s="5">
        <v>45260103000</v>
      </c>
      <c r="Q43" s="6">
        <v>-6644618013</v>
      </c>
      <c r="R43" s="6">
        <v>38615484987</v>
      </c>
      <c r="S43" s="6">
        <v>3717487321</v>
      </c>
      <c r="T43" s="6">
        <v>42332972308</v>
      </c>
      <c r="U43" s="7">
        <v>38615484987</v>
      </c>
      <c r="V43" s="7">
        <v>42332972308</v>
      </c>
      <c r="W43" s="9" t="s">
        <v>38</v>
      </c>
      <c r="X43" s="8">
        <v>40402198059</v>
      </c>
      <c r="Y43" s="8">
        <v>33129715052</v>
      </c>
      <c r="Z43" s="9" t="s">
        <v>38</v>
      </c>
      <c r="AA43" s="8">
        <v>7272483007</v>
      </c>
      <c r="AB43" s="8">
        <v>5226351050</v>
      </c>
      <c r="AC43" s="8">
        <v>5226351050</v>
      </c>
      <c r="AD43" s="9" t="s">
        <v>38</v>
      </c>
      <c r="AE43" s="9"/>
      <c r="AF43" s="2"/>
      <c r="AG43" s="2"/>
      <c r="AH43" s="2" t="s">
        <v>40</v>
      </c>
      <c r="AI43" s="2" t="s">
        <v>88</v>
      </c>
      <c r="AJ43" s="2"/>
      <c r="AK43" s="2" t="s">
        <v>98</v>
      </c>
      <c r="AL43" s="2"/>
      <c r="AM43" s="2"/>
      <c r="AN43" s="2"/>
      <c r="AO43" s="2"/>
      <c r="AP43" s="9"/>
      <c r="AQ43" s="10" t="s">
        <v>43</v>
      </c>
      <c r="AR43" s="9"/>
      <c r="AS43" s="9"/>
      <c r="AT43" s="50" t="s">
        <v>503</v>
      </c>
      <c r="AU43" s="35">
        <f t="shared" si="0"/>
        <v>1</v>
      </c>
      <c r="AV43" s="35">
        <f t="shared" si="1"/>
        <v>1900</v>
      </c>
    </row>
    <row r="44" spans="1:48" ht="39">
      <c r="A44" s="2">
        <v>16</v>
      </c>
      <c r="B44" s="2">
        <v>1000000000005670</v>
      </c>
      <c r="C44" s="3" t="s">
        <v>104</v>
      </c>
      <c r="D44" s="2"/>
      <c r="E44" s="2" t="s">
        <v>52</v>
      </c>
      <c r="F44" s="2" t="s">
        <v>53</v>
      </c>
      <c r="G44" s="2" t="s">
        <v>34</v>
      </c>
      <c r="H44" s="2"/>
      <c r="I44" s="3" t="s">
        <v>105</v>
      </c>
      <c r="J44" s="3"/>
      <c r="K44" s="2" t="s">
        <v>86</v>
      </c>
      <c r="L44" s="3" t="s">
        <v>106</v>
      </c>
      <c r="M44" s="4">
        <v>43867</v>
      </c>
      <c r="N44" s="2"/>
      <c r="O44" s="2"/>
      <c r="P44" s="5">
        <v>85877566</v>
      </c>
      <c r="Q44" s="15"/>
      <c r="R44" s="6">
        <v>85877566</v>
      </c>
      <c r="S44" s="6">
        <v>8587757</v>
      </c>
      <c r="T44" s="6">
        <v>94465323</v>
      </c>
      <c r="U44" s="7">
        <v>85877566</v>
      </c>
      <c r="V44" s="7">
        <v>94465323</v>
      </c>
      <c r="W44" s="9" t="s">
        <v>38</v>
      </c>
      <c r="X44" s="8">
        <v>94465323</v>
      </c>
      <c r="Y44" s="8">
        <v>94465323</v>
      </c>
      <c r="Z44" s="9" t="s">
        <v>38</v>
      </c>
      <c r="AA44" s="9" t="s">
        <v>38</v>
      </c>
      <c r="AB44" s="8">
        <v>42938783</v>
      </c>
      <c r="AC44" s="8">
        <v>42938783</v>
      </c>
      <c r="AD44" s="9" t="s">
        <v>38</v>
      </c>
      <c r="AE44" s="9"/>
      <c r="AF44" s="2"/>
      <c r="AG44" s="2"/>
      <c r="AH44" s="2" t="s">
        <v>40</v>
      </c>
      <c r="AI44" s="2" t="s">
        <v>88</v>
      </c>
      <c r="AJ44" s="2"/>
      <c r="AK44" s="2"/>
      <c r="AL44" s="2"/>
      <c r="AM44" s="2"/>
      <c r="AN44" s="2"/>
      <c r="AO44" s="2"/>
      <c r="AP44" s="9"/>
      <c r="AQ44" s="10" t="s">
        <v>43</v>
      </c>
      <c r="AR44" s="9"/>
      <c r="AS44" s="9"/>
      <c r="AT44" s="50" t="s">
        <v>503</v>
      </c>
      <c r="AU44" s="35">
        <f t="shared" si="0"/>
        <v>1</v>
      </c>
      <c r="AV44" s="35">
        <f t="shared" si="1"/>
        <v>1900</v>
      </c>
    </row>
    <row r="45" spans="1:48" ht="39">
      <c r="A45" s="2">
        <v>17</v>
      </c>
      <c r="B45" s="2">
        <v>1000000000005720</v>
      </c>
      <c r="C45" s="3" t="s">
        <v>107</v>
      </c>
      <c r="D45" s="2"/>
      <c r="E45" s="2" t="s">
        <v>52</v>
      </c>
      <c r="F45" s="2" t="s">
        <v>53</v>
      </c>
      <c r="G45" s="2" t="s">
        <v>34</v>
      </c>
      <c r="H45" s="2"/>
      <c r="I45" s="3" t="s">
        <v>108</v>
      </c>
      <c r="J45" s="3"/>
      <c r="K45" s="2" t="s">
        <v>86</v>
      </c>
      <c r="L45" s="3" t="s">
        <v>109</v>
      </c>
      <c r="M45" s="4">
        <v>43906</v>
      </c>
      <c r="N45" s="2"/>
      <c r="O45" s="2"/>
      <c r="P45" s="5">
        <v>35424550000</v>
      </c>
      <c r="Q45" s="6">
        <v>15086532993</v>
      </c>
      <c r="R45" s="6">
        <v>50511082993</v>
      </c>
      <c r="S45" s="6">
        <v>5051108301</v>
      </c>
      <c r="T45" s="6">
        <v>55562191294</v>
      </c>
      <c r="U45" s="7">
        <v>50511082993</v>
      </c>
      <c r="V45" s="7">
        <v>55562191294</v>
      </c>
      <c r="W45" s="9" t="s">
        <v>38</v>
      </c>
      <c r="X45" s="8">
        <v>55562191294</v>
      </c>
      <c r="Y45" s="8">
        <v>55562191294</v>
      </c>
      <c r="Z45" s="9" t="s">
        <v>38</v>
      </c>
      <c r="AA45" s="9" t="s">
        <v>38</v>
      </c>
      <c r="AB45" s="9" t="s">
        <v>38</v>
      </c>
      <c r="AC45" s="9" t="s">
        <v>38</v>
      </c>
      <c r="AD45" s="9" t="s">
        <v>38</v>
      </c>
      <c r="AE45" s="9"/>
      <c r="AF45" s="2"/>
      <c r="AG45" s="2"/>
      <c r="AH45" s="2" t="s">
        <v>40</v>
      </c>
      <c r="AI45" s="2" t="s">
        <v>88</v>
      </c>
      <c r="AJ45" s="2"/>
      <c r="AK45" s="2" t="s">
        <v>98</v>
      </c>
      <c r="AL45" s="2"/>
      <c r="AM45" s="2"/>
      <c r="AN45" s="2"/>
      <c r="AO45" s="2"/>
      <c r="AP45" s="9"/>
      <c r="AQ45" s="10" t="s">
        <v>43</v>
      </c>
      <c r="AR45" s="9"/>
      <c r="AS45" s="9"/>
      <c r="AT45" s="50" t="s">
        <v>503</v>
      </c>
      <c r="AU45" s="35">
        <f t="shared" si="0"/>
        <v>1</v>
      </c>
      <c r="AV45" s="35">
        <f t="shared" si="1"/>
        <v>1900</v>
      </c>
    </row>
    <row r="46" spans="1:48" ht="39">
      <c r="A46" s="2">
        <v>18</v>
      </c>
      <c r="B46" s="2">
        <v>1000000000005740</v>
      </c>
      <c r="C46" s="3" t="s">
        <v>110</v>
      </c>
      <c r="D46" s="2"/>
      <c r="E46" s="2" t="s">
        <v>52</v>
      </c>
      <c r="F46" s="2" t="s">
        <v>53</v>
      </c>
      <c r="G46" s="2" t="s">
        <v>34</v>
      </c>
      <c r="H46" s="2"/>
      <c r="I46" s="3" t="s">
        <v>111</v>
      </c>
      <c r="J46" s="3"/>
      <c r="K46" s="2" t="s">
        <v>86</v>
      </c>
      <c r="L46" s="3" t="s">
        <v>112</v>
      </c>
      <c r="M46" s="4">
        <v>43920</v>
      </c>
      <c r="N46" s="2"/>
      <c r="O46" s="2"/>
      <c r="P46" s="5">
        <v>31807513495</v>
      </c>
      <c r="Q46" s="6">
        <v>17232968382</v>
      </c>
      <c r="R46" s="6">
        <v>49040481877</v>
      </c>
      <c r="S46" s="6">
        <v>4904048188</v>
      </c>
      <c r="T46" s="6">
        <v>53944530065</v>
      </c>
      <c r="U46" s="7">
        <v>49040481877</v>
      </c>
      <c r="V46" s="7">
        <v>53944530065</v>
      </c>
      <c r="W46" s="9" t="s">
        <v>38</v>
      </c>
      <c r="X46" s="8">
        <v>53944530065</v>
      </c>
      <c r="Y46" s="8">
        <v>45804250302</v>
      </c>
      <c r="Z46" s="9" t="s">
        <v>38</v>
      </c>
      <c r="AA46" s="8">
        <v>8140279763</v>
      </c>
      <c r="AB46" s="8">
        <v>3180751350</v>
      </c>
      <c r="AC46" s="8">
        <v>3180751350</v>
      </c>
      <c r="AD46" s="9" t="s">
        <v>38</v>
      </c>
      <c r="AE46" s="9"/>
      <c r="AF46" s="2"/>
      <c r="AG46" s="2"/>
      <c r="AH46" s="2" t="s">
        <v>40</v>
      </c>
      <c r="AI46" s="2" t="s">
        <v>88</v>
      </c>
      <c r="AJ46" s="2"/>
      <c r="AK46" s="2"/>
      <c r="AL46" s="2"/>
      <c r="AM46" s="2"/>
      <c r="AN46" s="2"/>
      <c r="AO46" s="2"/>
      <c r="AP46" s="9"/>
      <c r="AQ46" s="10" t="s">
        <v>43</v>
      </c>
      <c r="AR46" s="9"/>
      <c r="AS46" s="9"/>
      <c r="AT46" s="50" t="s">
        <v>503</v>
      </c>
      <c r="AU46" s="35">
        <f t="shared" si="0"/>
        <v>1</v>
      </c>
      <c r="AV46" s="35">
        <f t="shared" si="1"/>
        <v>1900</v>
      </c>
    </row>
    <row r="47" spans="1:48" ht="39">
      <c r="A47" s="2">
        <v>19</v>
      </c>
      <c r="B47" s="2">
        <v>1000000000005810</v>
      </c>
      <c r="C47" s="3" t="s">
        <v>218</v>
      </c>
      <c r="D47" s="2"/>
      <c r="E47" s="2" t="s">
        <v>52</v>
      </c>
      <c r="F47" s="2" t="s">
        <v>53</v>
      </c>
      <c r="G47" s="2" t="s">
        <v>34</v>
      </c>
      <c r="H47" s="2"/>
      <c r="I47" s="3" t="s">
        <v>219</v>
      </c>
      <c r="J47" s="3"/>
      <c r="K47" s="2" t="s">
        <v>86</v>
      </c>
      <c r="L47" s="3" t="s">
        <v>220</v>
      </c>
      <c r="M47" s="4">
        <v>43943</v>
      </c>
      <c r="N47" s="2"/>
      <c r="O47" s="2"/>
      <c r="P47" s="5">
        <v>3293567651</v>
      </c>
      <c r="Q47" s="6">
        <v>2920465868</v>
      </c>
      <c r="R47" s="6">
        <v>6214033519</v>
      </c>
      <c r="S47" s="6">
        <v>621403351</v>
      </c>
      <c r="T47" s="6">
        <v>6835436870</v>
      </c>
      <c r="U47" s="7">
        <v>6214033519</v>
      </c>
      <c r="V47" s="7">
        <v>6835436870</v>
      </c>
      <c r="W47" s="9" t="s">
        <v>38</v>
      </c>
      <c r="X47" s="8">
        <v>6835436870</v>
      </c>
      <c r="Y47" s="8">
        <v>6835436870</v>
      </c>
      <c r="Z47" s="9" t="s">
        <v>38</v>
      </c>
      <c r="AA47" s="9" t="s">
        <v>38</v>
      </c>
      <c r="AB47" s="8">
        <v>329356765</v>
      </c>
      <c r="AC47" s="8">
        <v>329356765</v>
      </c>
      <c r="AD47" s="9" t="s">
        <v>38</v>
      </c>
      <c r="AE47" s="9"/>
      <c r="AF47" s="2"/>
      <c r="AG47" s="2"/>
      <c r="AH47" s="2" t="s">
        <v>40</v>
      </c>
      <c r="AI47" s="2" t="s">
        <v>88</v>
      </c>
      <c r="AJ47" s="2"/>
      <c r="AK47" s="2" t="s">
        <v>98</v>
      </c>
      <c r="AL47" s="2"/>
      <c r="AM47" s="2"/>
      <c r="AN47" s="2"/>
      <c r="AO47" s="2"/>
      <c r="AP47" s="9"/>
      <c r="AQ47" s="10" t="s">
        <v>43</v>
      </c>
      <c r="AR47" s="9"/>
      <c r="AS47" s="9"/>
      <c r="AT47" s="50" t="s">
        <v>503</v>
      </c>
      <c r="AU47" s="35">
        <f t="shared" si="0"/>
        <v>1</v>
      </c>
      <c r="AV47" s="35">
        <f t="shared" si="1"/>
        <v>1900</v>
      </c>
    </row>
    <row r="48" spans="1:48" ht="39">
      <c r="A48" s="2">
        <v>20</v>
      </c>
      <c r="B48" s="2">
        <v>1000000000005810</v>
      </c>
      <c r="C48" s="3" t="s">
        <v>221</v>
      </c>
      <c r="D48" s="2"/>
      <c r="E48" s="2" t="s">
        <v>52</v>
      </c>
      <c r="F48" s="2" t="s">
        <v>53</v>
      </c>
      <c r="G48" s="2" t="s">
        <v>34</v>
      </c>
      <c r="H48" s="2"/>
      <c r="I48" s="3" t="s">
        <v>222</v>
      </c>
      <c r="J48" s="3"/>
      <c r="K48" s="2" t="s">
        <v>86</v>
      </c>
      <c r="L48" s="3" t="s">
        <v>223</v>
      </c>
      <c r="M48" s="4">
        <v>43755</v>
      </c>
      <c r="N48" s="2"/>
      <c r="O48" s="2"/>
      <c r="P48" s="5">
        <v>1209200000</v>
      </c>
      <c r="Q48" s="15"/>
      <c r="R48" s="6">
        <v>1209200000</v>
      </c>
      <c r="S48" s="6">
        <v>120920000</v>
      </c>
      <c r="T48" s="6">
        <v>1330120000</v>
      </c>
      <c r="U48" s="7">
        <v>1209200000</v>
      </c>
      <c r="V48" s="7">
        <v>1330120000</v>
      </c>
      <c r="W48" s="9" t="s">
        <v>38</v>
      </c>
      <c r="X48" s="8">
        <v>1330120000</v>
      </c>
      <c r="Y48" s="8">
        <v>1330120000</v>
      </c>
      <c r="Z48" s="9" t="s">
        <v>38</v>
      </c>
      <c r="AA48" s="9" t="s">
        <v>38</v>
      </c>
      <c r="AB48" s="9" t="s">
        <v>38</v>
      </c>
      <c r="AC48" s="9" t="s">
        <v>38</v>
      </c>
      <c r="AD48" s="9" t="s">
        <v>38</v>
      </c>
      <c r="AE48" s="9"/>
      <c r="AF48" s="2"/>
      <c r="AG48" s="2"/>
      <c r="AH48" s="2" t="s">
        <v>40</v>
      </c>
      <c r="AI48" s="2" t="s">
        <v>88</v>
      </c>
      <c r="AJ48" s="2"/>
      <c r="AK48" s="2"/>
      <c r="AL48" s="2"/>
      <c r="AM48" s="2"/>
      <c r="AN48" s="2"/>
      <c r="AO48" s="2"/>
      <c r="AP48" s="9"/>
      <c r="AQ48" s="10" t="s">
        <v>43</v>
      </c>
      <c r="AR48" s="9"/>
      <c r="AS48" s="9"/>
      <c r="AT48" s="50" t="s">
        <v>503</v>
      </c>
      <c r="AU48" s="35">
        <f t="shared" si="0"/>
        <v>1</v>
      </c>
      <c r="AV48" s="35">
        <f t="shared" si="1"/>
        <v>1900</v>
      </c>
    </row>
    <row r="49" spans="1:48" ht="39">
      <c r="A49" s="2">
        <v>21</v>
      </c>
      <c r="B49" s="2">
        <v>1000000000005810</v>
      </c>
      <c r="C49" s="3" t="s">
        <v>224</v>
      </c>
      <c r="D49" s="2"/>
      <c r="E49" s="2" t="s">
        <v>52</v>
      </c>
      <c r="F49" s="2" t="s">
        <v>53</v>
      </c>
      <c r="G49" s="2" t="s">
        <v>34</v>
      </c>
      <c r="H49" s="2"/>
      <c r="I49" s="3" t="s">
        <v>225</v>
      </c>
      <c r="J49" s="3"/>
      <c r="K49" s="2" t="s">
        <v>86</v>
      </c>
      <c r="L49" s="3" t="s">
        <v>223</v>
      </c>
      <c r="M49" s="4">
        <v>43648</v>
      </c>
      <c r="N49" s="2"/>
      <c r="O49" s="2"/>
      <c r="P49" s="5">
        <v>45454545</v>
      </c>
      <c r="Q49" s="6">
        <v>41104320</v>
      </c>
      <c r="R49" s="6">
        <v>86558865</v>
      </c>
      <c r="S49" s="6">
        <v>8655887</v>
      </c>
      <c r="T49" s="6">
        <v>95214752</v>
      </c>
      <c r="U49" s="7">
        <v>86558865</v>
      </c>
      <c r="V49" s="7">
        <v>95214752</v>
      </c>
      <c r="W49" s="9" t="s">
        <v>38</v>
      </c>
      <c r="X49" s="8">
        <v>95214752</v>
      </c>
      <c r="Y49" s="8">
        <v>95214752</v>
      </c>
      <c r="Z49" s="9" t="s">
        <v>38</v>
      </c>
      <c r="AA49" s="9" t="s">
        <v>38</v>
      </c>
      <c r="AB49" s="9" t="s">
        <v>38</v>
      </c>
      <c r="AC49" s="9" t="s">
        <v>38</v>
      </c>
      <c r="AD49" s="9" t="s">
        <v>38</v>
      </c>
      <c r="AE49" s="9"/>
      <c r="AF49" s="2"/>
      <c r="AG49" s="2"/>
      <c r="AH49" s="2" t="s">
        <v>40</v>
      </c>
      <c r="AI49" s="2" t="s">
        <v>88</v>
      </c>
      <c r="AJ49" s="2"/>
      <c r="AK49" s="2"/>
      <c r="AL49" s="2"/>
      <c r="AM49" s="2"/>
      <c r="AN49" s="2"/>
      <c r="AO49" s="2"/>
      <c r="AP49" s="9"/>
      <c r="AQ49" s="10" t="s">
        <v>43</v>
      </c>
      <c r="AR49" s="9"/>
      <c r="AS49" s="9"/>
      <c r="AT49" s="50" t="s">
        <v>503</v>
      </c>
      <c r="AU49" s="35">
        <f t="shared" si="0"/>
        <v>1</v>
      </c>
      <c r="AV49" s="35">
        <f t="shared" si="1"/>
        <v>1900</v>
      </c>
    </row>
    <row r="50" spans="1:48" ht="39">
      <c r="A50" s="2">
        <v>22</v>
      </c>
      <c r="B50" s="2">
        <v>1000000000006140</v>
      </c>
      <c r="C50" s="3" t="s">
        <v>226</v>
      </c>
      <c r="D50" s="2"/>
      <c r="E50" s="2" t="s">
        <v>52</v>
      </c>
      <c r="F50" s="2" t="s">
        <v>53</v>
      </c>
      <c r="G50" s="2" t="s">
        <v>34</v>
      </c>
      <c r="H50" s="2"/>
      <c r="I50" s="3" t="s">
        <v>227</v>
      </c>
      <c r="J50" s="3"/>
      <c r="K50" s="2" t="s">
        <v>55</v>
      </c>
      <c r="L50" s="3" t="s">
        <v>228</v>
      </c>
      <c r="M50" s="4">
        <v>44084</v>
      </c>
      <c r="N50" s="2"/>
      <c r="O50" s="2"/>
      <c r="P50" s="5">
        <v>4923090000</v>
      </c>
      <c r="Q50" s="15"/>
      <c r="R50" s="6">
        <v>4923090000</v>
      </c>
      <c r="S50" s="6">
        <v>492309000</v>
      </c>
      <c r="T50" s="6">
        <v>5415399000</v>
      </c>
      <c r="U50" s="7">
        <v>4313964523</v>
      </c>
      <c r="V50" s="7">
        <v>4745360976</v>
      </c>
      <c r="W50" s="8">
        <v>670038024</v>
      </c>
      <c r="X50" s="8">
        <v>4529662750</v>
      </c>
      <c r="Y50" s="8">
        <v>4529662750</v>
      </c>
      <c r="Z50" s="9" t="s">
        <v>38</v>
      </c>
      <c r="AA50" s="9" t="s">
        <v>38</v>
      </c>
      <c r="AB50" s="8">
        <v>492309000</v>
      </c>
      <c r="AC50" s="8">
        <v>492309000</v>
      </c>
      <c r="AD50" s="9" t="s">
        <v>38</v>
      </c>
      <c r="AE50" s="9"/>
      <c r="AF50" s="2"/>
      <c r="AG50" s="2"/>
      <c r="AH50" s="2" t="s">
        <v>83</v>
      </c>
      <c r="AI50" s="2" t="s">
        <v>41</v>
      </c>
      <c r="AJ50" s="2"/>
      <c r="AK50" s="2" t="s">
        <v>98</v>
      </c>
      <c r="AL50" s="2" t="s">
        <v>42</v>
      </c>
      <c r="AM50" s="2"/>
      <c r="AN50" s="2"/>
      <c r="AO50" s="4">
        <v>46356</v>
      </c>
      <c r="AP50" s="9"/>
      <c r="AQ50" s="10" t="s">
        <v>43</v>
      </c>
      <c r="AR50" s="9"/>
      <c r="AS50" s="9"/>
      <c r="AT50" s="17" t="s">
        <v>502</v>
      </c>
      <c r="AU50" s="35">
        <f t="shared" si="0"/>
        <v>1</v>
      </c>
      <c r="AV50" s="35">
        <f t="shared" si="1"/>
        <v>2026</v>
      </c>
    </row>
    <row r="51" spans="1:48" ht="39">
      <c r="A51" s="2">
        <v>23</v>
      </c>
      <c r="B51" s="2">
        <v>1000000000005910</v>
      </c>
      <c r="C51" s="3" t="s">
        <v>229</v>
      </c>
      <c r="D51" s="2"/>
      <c r="E51" s="2" t="s">
        <v>52</v>
      </c>
      <c r="F51" s="2" t="s">
        <v>53</v>
      </c>
      <c r="G51" s="2" t="s">
        <v>34</v>
      </c>
      <c r="H51" s="2"/>
      <c r="I51" s="3" t="s">
        <v>230</v>
      </c>
      <c r="J51" s="3"/>
      <c r="K51" s="2" t="s">
        <v>86</v>
      </c>
      <c r="L51" s="3" t="s">
        <v>220</v>
      </c>
      <c r="M51" s="4">
        <v>43966</v>
      </c>
      <c r="N51" s="2"/>
      <c r="O51" s="2"/>
      <c r="P51" s="5">
        <v>11525896325</v>
      </c>
      <c r="Q51" s="6">
        <v>729878812</v>
      </c>
      <c r="R51" s="6">
        <v>12255775137</v>
      </c>
      <c r="S51" s="6">
        <v>1225577514</v>
      </c>
      <c r="T51" s="6">
        <v>13481352651</v>
      </c>
      <c r="U51" s="7">
        <v>12255775137</v>
      </c>
      <c r="V51" s="7">
        <v>13481352651</v>
      </c>
      <c r="W51" s="9" t="s">
        <v>38</v>
      </c>
      <c r="X51" s="8">
        <v>13481352651</v>
      </c>
      <c r="Y51" s="8">
        <v>13481352651</v>
      </c>
      <c r="Z51" s="9" t="s">
        <v>38</v>
      </c>
      <c r="AA51" s="9" t="s">
        <v>38</v>
      </c>
      <c r="AB51" s="8">
        <v>1152589633</v>
      </c>
      <c r="AC51" s="8">
        <v>1152589633</v>
      </c>
      <c r="AD51" s="9" t="s">
        <v>38</v>
      </c>
      <c r="AE51" s="9"/>
      <c r="AF51" s="2"/>
      <c r="AG51" s="2"/>
      <c r="AH51" s="2" t="s">
        <v>40</v>
      </c>
      <c r="AI51" s="2" t="s">
        <v>88</v>
      </c>
      <c r="AJ51" s="2"/>
      <c r="AK51" s="2" t="s">
        <v>98</v>
      </c>
      <c r="AL51" s="2"/>
      <c r="AM51" s="2"/>
      <c r="AN51" s="2"/>
      <c r="AO51" s="2"/>
      <c r="AP51" s="9"/>
      <c r="AQ51" s="10" t="s">
        <v>43</v>
      </c>
      <c r="AR51" s="9"/>
      <c r="AS51" s="9"/>
      <c r="AT51" s="50" t="s">
        <v>503</v>
      </c>
      <c r="AU51" s="35">
        <f t="shared" si="0"/>
        <v>1</v>
      </c>
      <c r="AV51" s="35">
        <f t="shared" si="1"/>
        <v>1900</v>
      </c>
    </row>
    <row r="52" spans="1:48" ht="39">
      <c r="A52" s="2">
        <v>24</v>
      </c>
      <c r="B52" s="2">
        <v>1000000000005920</v>
      </c>
      <c r="C52" s="3" t="s">
        <v>231</v>
      </c>
      <c r="D52" s="2"/>
      <c r="E52" s="2" t="s">
        <v>52</v>
      </c>
      <c r="F52" s="2" t="s">
        <v>53</v>
      </c>
      <c r="G52" s="2" t="s">
        <v>34</v>
      </c>
      <c r="H52" s="2"/>
      <c r="I52" s="3" t="s">
        <v>232</v>
      </c>
      <c r="J52" s="3"/>
      <c r="K52" s="2" t="s">
        <v>86</v>
      </c>
      <c r="L52" s="3" t="s">
        <v>233</v>
      </c>
      <c r="M52" s="4">
        <v>43993</v>
      </c>
      <c r="N52" s="2"/>
      <c r="O52" s="2"/>
      <c r="P52" s="5">
        <v>1045454545</v>
      </c>
      <c r="Q52" s="15"/>
      <c r="R52" s="6">
        <v>1045454545</v>
      </c>
      <c r="S52" s="6">
        <v>104545455</v>
      </c>
      <c r="T52" s="6">
        <v>1150000000</v>
      </c>
      <c r="U52" s="7">
        <v>1045454545</v>
      </c>
      <c r="V52" s="7">
        <v>1150000000</v>
      </c>
      <c r="W52" s="9" t="s">
        <v>38</v>
      </c>
      <c r="X52" s="8">
        <v>1150000000</v>
      </c>
      <c r="Y52" s="8">
        <v>1150000000</v>
      </c>
      <c r="Z52" s="9" t="s">
        <v>38</v>
      </c>
      <c r="AA52" s="9" t="s">
        <v>38</v>
      </c>
      <c r="AB52" s="9" t="s">
        <v>38</v>
      </c>
      <c r="AC52" s="9" t="s">
        <v>38</v>
      </c>
      <c r="AD52" s="9" t="s">
        <v>38</v>
      </c>
      <c r="AE52" s="9"/>
      <c r="AF52" s="2"/>
      <c r="AG52" s="2"/>
      <c r="AH52" s="2" t="s">
        <v>40</v>
      </c>
      <c r="AI52" s="2" t="s">
        <v>88</v>
      </c>
      <c r="AJ52" s="2"/>
      <c r="AK52" s="2"/>
      <c r="AL52" s="2"/>
      <c r="AM52" s="2"/>
      <c r="AN52" s="2"/>
      <c r="AO52" s="2"/>
      <c r="AP52" s="9"/>
      <c r="AQ52" s="10" t="s">
        <v>43</v>
      </c>
      <c r="AR52" s="9"/>
      <c r="AS52" s="9"/>
      <c r="AT52" s="50" t="s">
        <v>503</v>
      </c>
      <c r="AU52" s="35">
        <f t="shared" si="0"/>
        <v>1</v>
      </c>
      <c r="AV52" s="35">
        <f t="shared" si="1"/>
        <v>1900</v>
      </c>
    </row>
    <row r="53" spans="1:48" ht="39">
      <c r="A53" s="2">
        <v>25</v>
      </c>
      <c r="B53" s="2">
        <v>1000000000005920</v>
      </c>
      <c r="C53" s="3" t="s">
        <v>234</v>
      </c>
      <c r="D53" s="2"/>
      <c r="E53" s="2" t="s">
        <v>52</v>
      </c>
      <c r="F53" s="2" t="s">
        <v>53</v>
      </c>
      <c r="G53" s="2" t="s">
        <v>34</v>
      </c>
      <c r="H53" s="2"/>
      <c r="I53" s="3" t="s">
        <v>235</v>
      </c>
      <c r="J53" s="3"/>
      <c r="K53" s="2" t="s">
        <v>55</v>
      </c>
      <c r="L53" s="3" t="s">
        <v>236</v>
      </c>
      <c r="M53" s="4">
        <v>43993</v>
      </c>
      <c r="N53" s="2"/>
      <c r="O53" s="2"/>
      <c r="P53" s="5">
        <v>1250675000</v>
      </c>
      <c r="Q53" s="6">
        <v>727919887</v>
      </c>
      <c r="R53" s="6">
        <v>1978594887</v>
      </c>
      <c r="S53" s="6">
        <v>197859489</v>
      </c>
      <c r="T53" s="6">
        <v>2176454376</v>
      </c>
      <c r="U53" s="7">
        <v>1978594887</v>
      </c>
      <c r="V53" s="7">
        <v>2176454376</v>
      </c>
      <c r="W53" s="9" t="s">
        <v>38</v>
      </c>
      <c r="X53" s="8">
        <v>2176454376</v>
      </c>
      <c r="Y53" s="8">
        <v>2176454376</v>
      </c>
      <c r="Z53" s="9" t="s">
        <v>38</v>
      </c>
      <c r="AA53" s="9" t="s">
        <v>38</v>
      </c>
      <c r="AB53" s="9" t="s">
        <v>38</v>
      </c>
      <c r="AC53" s="9" t="s">
        <v>38</v>
      </c>
      <c r="AD53" s="9" t="s">
        <v>38</v>
      </c>
      <c r="AE53" s="9"/>
      <c r="AF53" s="2"/>
      <c r="AG53" s="2"/>
      <c r="AH53" s="2" t="s">
        <v>40</v>
      </c>
      <c r="AI53" s="2" t="s">
        <v>88</v>
      </c>
      <c r="AJ53" s="2"/>
      <c r="AK53" s="2"/>
      <c r="AL53" s="2"/>
      <c r="AM53" s="2"/>
      <c r="AN53" s="2"/>
      <c r="AO53" s="2"/>
      <c r="AP53" s="9"/>
      <c r="AQ53" s="10" t="s">
        <v>43</v>
      </c>
      <c r="AR53" s="9"/>
      <c r="AS53" s="9"/>
      <c r="AT53" s="50" t="s">
        <v>503</v>
      </c>
      <c r="AU53" s="35">
        <f t="shared" si="0"/>
        <v>1</v>
      </c>
      <c r="AV53" s="35">
        <f t="shared" si="1"/>
        <v>1900</v>
      </c>
    </row>
    <row r="54" spans="1:48" ht="39">
      <c r="A54" s="2">
        <v>26</v>
      </c>
      <c r="B54" s="2">
        <v>1000000000005930</v>
      </c>
      <c r="C54" s="3" t="s">
        <v>237</v>
      </c>
      <c r="D54" s="2"/>
      <c r="E54" s="2" t="s">
        <v>52</v>
      </c>
      <c r="F54" s="2" t="s">
        <v>53</v>
      </c>
      <c r="G54" s="2" t="s">
        <v>34</v>
      </c>
      <c r="H54" s="2"/>
      <c r="I54" s="3" t="s">
        <v>238</v>
      </c>
      <c r="J54" s="3"/>
      <c r="K54" s="2" t="s">
        <v>86</v>
      </c>
      <c r="L54" s="3" t="s">
        <v>239</v>
      </c>
      <c r="M54" s="4">
        <v>44004</v>
      </c>
      <c r="N54" s="2"/>
      <c r="O54" s="2"/>
      <c r="P54" s="5">
        <v>54082152735</v>
      </c>
      <c r="Q54" s="6">
        <v>-52500335799</v>
      </c>
      <c r="R54" s="6">
        <v>1581816936</v>
      </c>
      <c r="S54" s="6">
        <v>158181693</v>
      </c>
      <c r="T54" s="6">
        <v>1739998629</v>
      </c>
      <c r="U54" s="7">
        <v>1581816936</v>
      </c>
      <c r="V54" s="7">
        <v>1739998629</v>
      </c>
      <c r="W54" s="9" t="s">
        <v>38</v>
      </c>
      <c r="X54" s="8">
        <v>1739998629</v>
      </c>
      <c r="Y54" s="8">
        <v>1739998629</v>
      </c>
      <c r="Z54" s="9" t="s">
        <v>38</v>
      </c>
      <c r="AA54" s="9" t="s">
        <v>38</v>
      </c>
      <c r="AB54" s="9" t="s">
        <v>38</v>
      </c>
      <c r="AC54" s="9" t="s">
        <v>38</v>
      </c>
      <c r="AD54" s="9" t="s">
        <v>38</v>
      </c>
      <c r="AE54" s="9"/>
      <c r="AF54" s="2"/>
      <c r="AG54" s="2"/>
      <c r="AH54" s="2" t="s">
        <v>40</v>
      </c>
      <c r="AI54" s="2" t="s">
        <v>88</v>
      </c>
      <c r="AJ54" s="2"/>
      <c r="AK54" s="2"/>
      <c r="AL54" s="2"/>
      <c r="AM54" s="2"/>
      <c r="AN54" s="2"/>
      <c r="AO54" s="2"/>
      <c r="AP54" s="9"/>
      <c r="AQ54" s="10" t="s">
        <v>43</v>
      </c>
      <c r="AR54" s="9"/>
      <c r="AS54" s="9"/>
      <c r="AT54" s="50" t="s">
        <v>503</v>
      </c>
      <c r="AU54" s="35">
        <f t="shared" si="0"/>
        <v>1</v>
      </c>
      <c r="AV54" s="35">
        <f t="shared" si="1"/>
        <v>1900</v>
      </c>
    </row>
    <row r="55" spans="1:48" ht="39">
      <c r="A55" s="2">
        <v>27</v>
      </c>
      <c r="B55" s="2">
        <v>1000000000005930</v>
      </c>
      <c r="C55" s="3" t="s">
        <v>240</v>
      </c>
      <c r="D55" s="2"/>
      <c r="E55" s="2" t="s">
        <v>52</v>
      </c>
      <c r="F55" s="2" t="s">
        <v>53</v>
      </c>
      <c r="G55" s="2" t="s">
        <v>34</v>
      </c>
      <c r="H55" s="2"/>
      <c r="I55" s="3" t="s">
        <v>241</v>
      </c>
      <c r="J55" s="3"/>
      <c r="K55" s="2" t="s">
        <v>86</v>
      </c>
      <c r="L55" s="3" t="s">
        <v>109</v>
      </c>
      <c r="M55" s="4">
        <v>44001</v>
      </c>
      <c r="N55" s="2"/>
      <c r="O55" s="2"/>
      <c r="P55" s="5">
        <v>33770063616</v>
      </c>
      <c r="Q55" s="6">
        <v>-32853338990</v>
      </c>
      <c r="R55" s="6">
        <v>916724626</v>
      </c>
      <c r="S55" s="6">
        <v>91672463</v>
      </c>
      <c r="T55" s="6">
        <v>1008397089</v>
      </c>
      <c r="U55" s="7">
        <v>916724626</v>
      </c>
      <c r="V55" s="7">
        <v>1008397089</v>
      </c>
      <c r="W55" s="9" t="s">
        <v>38</v>
      </c>
      <c r="X55" s="8">
        <v>1008397089</v>
      </c>
      <c r="Y55" s="8">
        <v>1008397089</v>
      </c>
      <c r="Z55" s="9" t="s">
        <v>38</v>
      </c>
      <c r="AA55" s="9" t="s">
        <v>38</v>
      </c>
      <c r="AB55" s="9" t="s">
        <v>38</v>
      </c>
      <c r="AC55" s="9" t="s">
        <v>38</v>
      </c>
      <c r="AD55" s="9" t="s">
        <v>38</v>
      </c>
      <c r="AE55" s="9"/>
      <c r="AF55" s="2"/>
      <c r="AG55" s="2"/>
      <c r="AH55" s="2" t="s">
        <v>40</v>
      </c>
      <c r="AI55" s="2" t="s">
        <v>88</v>
      </c>
      <c r="AJ55" s="2"/>
      <c r="AK55" s="2"/>
      <c r="AL55" s="2"/>
      <c r="AM55" s="2"/>
      <c r="AN55" s="2"/>
      <c r="AO55" s="2"/>
      <c r="AP55" s="9"/>
      <c r="AQ55" s="10" t="s">
        <v>43</v>
      </c>
      <c r="AR55" s="9"/>
      <c r="AS55" s="9"/>
      <c r="AT55" s="50" t="s">
        <v>503</v>
      </c>
      <c r="AU55" s="35">
        <f t="shared" si="0"/>
        <v>1</v>
      </c>
      <c r="AV55" s="35">
        <f t="shared" si="1"/>
        <v>1900</v>
      </c>
    </row>
    <row r="56" spans="1:48" ht="39">
      <c r="A56" s="2">
        <v>28</v>
      </c>
      <c r="B56" s="2">
        <v>1000000000005950</v>
      </c>
      <c r="C56" s="3" t="s">
        <v>242</v>
      </c>
      <c r="D56" s="2"/>
      <c r="E56" s="2" t="s">
        <v>52</v>
      </c>
      <c r="F56" s="2" t="s">
        <v>53</v>
      </c>
      <c r="G56" s="2" t="s">
        <v>34</v>
      </c>
      <c r="H56" s="2"/>
      <c r="I56" s="3" t="s">
        <v>243</v>
      </c>
      <c r="J56" s="3"/>
      <c r="K56" s="2" t="s">
        <v>86</v>
      </c>
      <c r="L56" s="3" t="s">
        <v>244</v>
      </c>
      <c r="M56" s="4">
        <v>43992</v>
      </c>
      <c r="N56" s="2"/>
      <c r="O56" s="2"/>
      <c r="P56" s="5">
        <v>78038796014</v>
      </c>
      <c r="Q56" s="6">
        <v>-54674199443</v>
      </c>
      <c r="R56" s="6">
        <v>23364596571</v>
      </c>
      <c r="S56" s="6">
        <v>2336459657</v>
      </c>
      <c r="T56" s="6">
        <v>25701056228</v>
      </c>
      <c r="U56" s="7">
        <v>23364596571</v>
      </c>
      <c r="V56" s="7">
        <v>25701056228</v>
      </c>
      <c r="W56" s="9" t="s">
        <v>38</v>
      </c>
      <c r="X56" s="8">
        <v>25701056228</v>
      </c>
      <c r="Y56" s="8">
        <v>25701056228</v>
      </c>
      <c r="Z56" s="9" t="s">
        <v>38</v>
      </c>
      <c r="AA56" s="9" t="s">
        <v>38</v>
      </c>
      <c r="AB56" s="8">
        <v>11705819402</v>
      </c>
      <c r="AC56" s="8">
        <v>11705819402</v>
      </c>
      <c r="AD56" s="9" t="s">
        <v>38</v>
      </c>
      <c r="AE56" s="9"/>
      <c r="AF56" s="2"/>
      <c r="AG56" s="2"/>
      <c r="AH56" s="2" t="s">
        <v>40</v>
      </c>
      <c r="AI56" s="2" t="s">
        <v>88</v>
      </c>
      <c r="AJ56" s="2"/>
      <c r="AK56" s="2"/>
      <c r="AL56" s="2"/>
      <c r="AM56" s="2"/>
      <c r="AN56" s="2"/>
      <c r="AO56" s="2"/>
      <c r="AP56" s="9"/>
      <c r="AQ56" s="10" t="s">
        <v>43</v>
      </c>
      <c r="AR56" s="9"/>
      <c r="AS56" s="9"/>
      <c r="AT56" s="50" t="s">
        <v>503</v>
      </c>
      <c r="AU56" s="35">
        <f t="shared" si="0"/>
        <v>1</v>
      </c>
      <c r="AV56" s="35">
        <f t="shared" si="1"/>
        <v>1900</v>
      </c>
    </row>
    <row r="57" spans="1:48" ht="39">
      <c r="A57" s="2">
        <v>29</v>
      </c>
      <c r="B57" s="2">
        <v>1000000000006020</v>
      </c>
      <c r="C57" s="3" t="s">
        <v>245</v>
      </c>
      <c r="D57" s="2"/>
      <c r="E57" s="2" t="s">
        <v>52</v>
      </c>
      <c r="F57" s="2" t="s">
        <v>53</v>
      </c>
      <c r="G57" s="2" t="s">
        <v>34</v>
      </c>
      <c r="H57" s="2"/>
      <c r="I57" s="3" t="s">
        <v>246</v>
      </c>
      <c r="J57" s="3"/>
      <c r="K57" s="2" t="s">
        <v>86</v>
      </c>
      <c r="L57" s="3" t="s">
        <v>247</v>
      </c>
      <c r="M57" s="4">
        <v>44020</v>
      </c>
      <c r="N57" s="2"/>
      <c r="O57" s="2"/>
      <c r="P57" s="5">
        <v>76853322075</v>
      </c>
      <c r="Q57" s="6">
        <v>-15711906884</v>
      </c>
      <c r="R57" s="6">
        <v>61141415191</v>
      </c>
      <c r="S57" s="6">
        <v>5923392351</v>
      </c>
      <c r="T57" s="6">
        <v>67064807542</v>
      </c>
      <c r="U57" s="7">
        <v>61141415191</v>
      </c>
      <c r="V57" s="7">
        <v>67064807542</v>
      </c>
      <c r="W57" s="9" t="s">
        <v>38</v>
      </c>
      <c r="X57" s="8">
        <v>64007736782</v>
      </c>
      <c r="Y57" s="8">
        <v>41283165421</v>
      </c>
      <c r="Z57" s="9" t="s">
        <v>38</v>
      </c>
      <c r="AA57" s="8">
        <v>22724571361</v>
      </c>
      <c r="AB57" s="9" t="s">
        <v>38</v>
      </c>
      <c r="AC57" s="9" t="s">
        <v>38</v>
      </c>
      <c r="AD57" s="9" t="s">
        <v>38</v>
      </c>
      <c r="AE57" s="9"/>
      <c r="AF57" s="2"/>
      <c r="AG57" s="2"/>
      <c r="AH57" s="2" t="s">
        <v>40</v>
      </c>
      <c r="AI57" s="2" t="s">
        <v>88</v>
      </c>
      <c r="AJ57" s="2"/>
      <c r="AK57" s="2"/>
      <c r="AL57" s="2"/>
      <c r="AM57" s="2"/>
      <c r="AN57" s="2"/>
      <c r="AO57" s="2"/>
      <c r="AP57" s="9"/>
      <c r="AQ57" s="10" t="s">
        <v>43</v>
      </c>
      <c r="AR57" s="9"/>
      <c r="AS57" s="9"/>
      <c r="AT57" s="50" t="s">
        <v>503</v>
      </c>
      <c r="AU57" s="35">
        <f t="shared" si="0"/>
        <v>1</v>
      </c>
      <c r="AV57" s="35">
        <f t="shared" si="1"/>
        <v>1900</v>
      </c>
    </row>
    <row r="58" spans="1:48" ht="39">
      <c r="A58" s="2">
        <v>30</v>
      </c>
      <c r="B58" s="2">
        <v>1000000000007210</v>
      </c>
      <c r="C58" s="3" t="s">
        <v>248</v>
      </c>
      <c r="D58" s="2"/>
      <c r="E58" s="2" t="s">
        <v>52</v>
      </c>
      <c r="F58" s="2" t="s">
        <v>53</v>
      </c>
      <c r="G58" s="2" t="s">
        <v>34</v>
      </c>
      <c r="H58" s="2"/>
      <c r="I58" s="3" t="s">
        <v>249</v>
      </c>
      <c r="J58" s="3"/>
      <c r="K58" s="2" t="s">
        <v>55</v>
      </c>
      <c r="L58" s="3" t="s">
        <v>68</v>
      </c>
      <c r="M58" s="4">
        <v>44210</v>
      </c>
      <c r="N58" s="2"/>
      <c r="O58" s="2"/>
      <c r="P58" s="5">
        <v>116712979086</v>
      </c>
      <c r="Q58" s="6">
        <v>69442642552</v>
      </c>
      <c r="R58" s="6">
        <v>186155621638</v>
      </c>
      <c r="S58" s="6">
        <v>15746724643</v>
      </c>
      <c r="T58" s="6">
        <v>201902346281</v>
      </c>
      <c r="U58" s="7">
        <v>141082240785</v>
      </c>
      <c r="V58" s="7">
        <v>153223094959</v>
      </c>
      <c r="W58" s="8">
        <v>48679251322</v>
      </c>
      <c r="X58" s="8">
        <v>146279625690</v>
      </c>
      <c r="Y58" s="8">
        <v>131219144478</v>
      </c>
      <c r="Z58" s="9" t="s">
        <v>38</v>
      </c>
      <c r="AA58" s="8">
        <v>15060481212</v>
      </c>
      <c r="AB58" s="8">
        <v>49369508173</v>
      </c>
      <c r="AC58" s="8">
        <v>49369508173</v>
      </c>
      <c r="AD58" s="9" t="s">
        <v>38</v>
      </c>
      <c r="AE58" s="9"/>
      <c r="AF58" s="2"/>
      <c r="AG58" s="2"/>
      <c r="AH58" s="2" t="s">
        <v>83</v>
      </c>
      <c r="AI58" s="2" t="s">
        <v>41</v>
      </c>
      <c r="AJ58" s="2"/>
      <c r="AK58" s="2" t="s">
        <v>98</v>
      </c>
      <c r="AL58" s="2"/>
      <c r="AM58" s="2"/>
      <c r="AN58" s="2"/>
      <c r="AO58" s="2"/>
      <c r="AP58" s="9"/>
      <c r="AQ58" s="10" t="s">
        <v>43</v>
      </c>
      <c r="AR58" s="9"/>
      <c r="AS58" s="9"/>
      <c r="AT58" s="50" t="s">
        <v>503</v>
      </c>
      <c r="AU58" s="35">
        <f t="shared" si="0"/>
        <v>1</v>
      </c>
      <c r="AV58" s="35">
        <f t="shared" si="1"/>
        <v>1900</v>
      </c>
    </row>
    <row r="59" spans="1:48" ht="39">
      <c r="A59" s="2">
        <v>31</v>
      </c>
      <c r="B59" s="2">
        <v>1000000000007220</v>
      </c>
      <c r="C59" s="3" t="s">
        <v>250</v>
      </c>
      <c r="D59" s="2"/>
      <c r="E59" s="2" t="s">
        <v>52</v>
      </c>
      <c r="F59" s="2" t="s">
        <v>53</v>
      </c>
      <c r="G59" s="2" t="s">
        <v>34</v>
      </c>
      <c r="H59" s="2"/>
      <c r="I59" s="3" t="s">
        <v>251</v>
      </c>
      <c r="J59" s="3"/>
      <c r="K59" s="2" t="s">
        <v>86</v>
      </c>
      <c r="L59" s="3" t="s">
        <v>252</v>
      </c>
      <c r="M59" s="4">
        <v>44230</v>
      </c>
      <c r="N59" s="2"/>
      <c r="O59" s="2"/>
      <c r="P59" s="5">
        <v>1785048977</v>
      </c>
      <c r="Q59" s="29">
        <v>-274396150</v>
      </c>
      <c r="R59" s="6">
        <v>1510652827</v>
      </c>
      <c r="S59" s="6">
        <v>139300749</v>
      </c>
      <c r="T59" s="6">
        <v>1649953576</v>
      </c>
      <c r="U59" s="7">
        <v>1510652827</v>
      </c>
      <c r="V59" s="7">
        <v>1649953576</v>
      </c>
      <c r="W59" s="9" t="s">
        <v>38</v>
      </c>
      <c r="X59" s="8">
        <v>1649953576</v>
      </c>
      <c r="Y59" s="8">
        <v>1615930536</v>
      </c>
      <c r="Z59" s="9" t="s">
        <v>38</v>
      </c>
      <c r="AA59" s="8">
        <v>34023040</v>
      </c>
      <c r="AB59" s="8">
        <v>89252449</v>
      </c>
      <c r="AC59" s="8">
        <v>89252449</v>
      </c>
      <c r="AD59" s="9" t="s">
        <v>38</v>
      </c>
      <c r="AE59" s="4">
        <v>44615</v>
      </c>
      <c r="AF59" s="2"/>
      <c r="AG59" s="2"/>
      <c r="AH59" s="2" t="s">
        <v>40</v>
      </c>
      <c r="AI59" s="2" t="s">
        <v>88</v>
      </c>
      <c r="AJ59" s="4">
        <v>46120</v>
      </c>
      <c r="AK59" s="2"/>
      <c r="AL59" s="2"/>
      <c r="AM59" s="2"/>
      <c r="AN59" s="2"/>
      <c r="AO59" s="2"/>
      <c r="AP59" s="9"/>
      <c r="AQ59" s="10" t="s">
        <v>43</v>
      </c>
      <c r="AR59" s="9"/>
      <c r="AS59" s="9"/>
      <c r="AT59" s="50" t="s">
        <v>503</v>
      </c>
      <c r="AU59" s="35">
        <f t="shared" si="0"/>
        <v>1</v>
      </c>
      <c r="AV59" s="35">
        <f t="shared" si="1"/>
        <v>1900</v>
      </c>
    </row>
    <row r="60" spans="1:48" ht="39">
      <c r="A60" s="2">
        <v>32</v>
      </c>
      <c r="B60" s="2">
        <v>1000000000007400</v>
      </c>
      <c r="C60" s="3" t="s">
        <v>253</v>
      </c>
      <c r="D60" s="2"/>
      <c r="E60" s="2" t="s">
        <v>52</v>
      </c>
      <c r="F60" s="2" t="s">
        <v>53</v>
      </c>
      <c r="G60" s="2" t="s">
        <v>34</v>
      </c>
      <c r="H60" s="2"/>
      <c r="I60" s="3" t="s">
        <v>254</v>
      </c>
      <c r="J60" s="3"/>
      <c r="K60" s="2" t="s">
        <v>55</v>
      </c>
      <c r="L60" s="3" t="s">
        <v>68</v>
      </c>
      <c r="M60" s="4">
        <v>44218</v>
      </c>
      <c r="N60" s="2"/>
      <c r="O60" s="2"/>
      <c r="P60" s="5">
        <v>60756305482</v>
      </c>
      <c r="Q60" s="30">
        <v>42455814672</v>
      </c>
      <c r="R60" s="6">
        <v>103212120154</v>
      </c>
      <c r="S60" s="6">
        <v>9128040025</v>
      </c>
      <c r="T60" s="6">
        <v>112340160179</v>
      </c>
      <c r="U60" s="7">
        <v>76612303211</v>
      </c>
      <c r="V60" s="7">
        <v>83612357881</v>
      </c>
      <c r="W60" s="8">
        <v>28727802298</v>
      </c>
      <c r="X60" s="8">
        <v>79858314036</v>
      </c>
      <c r="Y60" s="8">
        <v>71102681154</v>
      </c>
      <c r="Z60" s="9" t="s">
        <v>38</v>
      </c>
      <c r="AA60" s="8">
        <v>8755632882</v>
      </c>
      <c r="AB60" s="8">
        <v>8848005653</v>
      </c>
      <c r="AC60" s="8">
        <v>8848005653</v>
      </c>
      <c r="AD60" s="9" t="s">
        <v>38</v>
      </c>
      <c r="AE60" s="9"/>
      <c r="AF60" s="2"/>
      <c r="AG60" s="2"/>
      <c r="AH60" s="2" t="s">
        <v>83</v>
      </c>
      <c r="AI60" s="2" t="s">
        <v>41</v>
      </c>
      <c r="AJ60" s="2"/>
      <c r="AK60" s="2" t="s">
        <v>98</v>
      </c>
      <c r="AL60" s="2"/>
      <c r="AM60" s="2"/>
      <c r="AN60" s="2"/>
      <c r="AO60" s="2"/>
      <c r="AP60" s="9"/>
      <c r="AQ60" s="10" t="s">
        <v>43</v>
      </c>
      <c r="AR60" s="9"/>
      <c r="AS60" s="9"/>
      <c r="AT60" s="50" t="s">
        <v>503</v>
      </c>
      <c r="AU60" s="35">
        <f t="shared" si="0"/>
        <v>1</v>
      </c>
      <c r="AV60" s="35">
        <f t="shared" si="1"/>
        <v>1900</v>
      </c>
    </row>
    <row r="61" spans="1:48" ht="39">
      <c r="A61" s="2">
        <v>33</v>
      </c>
      <c r="B61" s="2">
        <v>1000000000006030</v>
      </c>
      <c r="C61" s="3" t="s">
        <v>255</v>
      </c>
      <c r="D61" s="2"/>
      <c r="E61" s="2" t="s">
        <v>52</v>
      </c>
      <c r="F61" s="2" t="s">
        <v>53</v>
      </c>
      <c r="G61" s="2" t="s">
        <v>34</v>
      </c>
      <c r="H61" s="2"/>
      <c r="I61" s="3" t="s">
        <v>256</v>
      </c>
      <c r="J61" s="3"/>
      <c r="K61" s="2" t="s">
        <v>86</v>
      </c>
      <c r="L61" s="3" t="s">
        <v>257</v>
      </c>
      <c r="M61" s="4">
        <v>44049</v>
      </c>
      <c r="N61" s="2"/>
      <c r="O61" s="2"/>
      <c r="P61" s="5">
        <v>1500019000</v>
      </c>
      <c r="Q61" s="15"/>
      <c r="R61" s="6">
        <v>1500019000</v>
      </c>
      <c r="S61" s="6">
        <v>150001900</v>
      </c>
      <c r="T61" s="6">
        <v>1650020900</v>
      </c>
      <c r="U61" s="7">
        <v>1500019000</v>
      </c>
      <c r="V61" s="7">
        <v>1650020900</v>
      </c>
      <c r="W61" s="9" t="s">
        <v>38</v>
      </c>
      <c r="X61" s="8">
        <v>1650020900</v>
      </c>
      <c r="Y61" s="8">
        <v>1650020900</v>
      </c>
      <c r="Z61" s="9" t="s">
        <v>38</v>
      </c>
      <c r="AA61" s="9" t="s">
        <v>38</v>
      </c>
      <c r="AB61" s="9" t="s">
        <v>38</v>
      </c>
      <c r="AC61" s="9" t="s">
        <v>38</v>
      </c>
      <c r="AD61" s="9" t="s">
        <v>38</v>
      </c>
      <c r="AE61" s="9"/>
      <c r="AF61" s="2"/>
      <c r="AG61" s="2"/>
      <c r="AH61" s="2" t="s">
        <v>40</v>
      </c>
      <c r="AI61" s="2" t="s">
        <v>88</v>
      </c>
      <c r="AJ61" s="2"/>
      <c r="AK61" s="2"/>
      <c r="AL61" s="2"/>
      <c r="AM61" s="2"/>
      <c r="AN61" s="2"/>
      <c r="AO61" s="2"/>
      <c r="AP61" s="9"/>
      <c r="AQ61" s="10" t="s">
        <v>43</v>
      </c>
      <c r="AR61" s="9"/>
      <c r="AS61" s="9"/>
      <c r="AT61" s="50" t="s">
        <v>503</v>
      </c>
      <c r="AU61" s="35">
        <f t="shared" si="0"/>
        <v>1</v>
      </c>
      <c r="AV61" s="35">
        <f t="shared" si="1"/>
        <v>1900</v>
      </c>
    </row>
    <row r="62" spans="1:48" ht="39">
      <c r="A62" s="2">
        <v>34</v>
      </c>
      <c r="B62" s="2">
        <v>1000000000007480</v>
      </c>
      <c r="C62" s="3" t="s">
        <v>258</v>
      </c>
      <c r="D62" s="2"/>
      <c r="E62" s="2" t="s">
        <v>52</v>
      </c>
      <c r="F62" s="2" t="s">
        <v>53</v>
      </c>
      <c r="G62" s="2" t="s">
        <v>34</v>
      </c>
      <c r="H62" s="2"/>
      <c r="I62" s="3" t="s">
        <v>259</v>
      </c>
      <c r="J62" s="3"/>
      <c r="K62" s="2" t="s">
        <v>55</v>
      </c>
      <c r="L62" s="3" t="s">
        <v>68</v>
      </c>
      <c r="M62" s="4">
        <v>44211</v>
      </c>
      <c r="N62" s="2"/>
      <c r="O62" s="2"/>
      <c r="P62" s="5">
        <v>55931523918</v>
      </c>
      <c r="Q62" s="6">
        <v>16017255402</v>
      </c>
      <c r="R62" s="6">
        <v>71948779320</v>
      </c>
      <c r="S62" s="6">
        <v>6672405171</v>
      </c>
      <c r="T62" s="6">
        <v>78621184491</v>
      </c>
      <c r="U62" s="7">
        <v>71033496491</v>
      </c>
      <c r="V62" s="7">
        <v>77632679035</v>
      </c>
      <c r="W62" s="8">
        <v>988505456</v>
      </c>
      <c r="X62" s="8">
        <v>74081004210</v>
      </c>
      <c r="Y62" s="8">
        <v>56322630088</v>
      </c>
      <c r="Z62" s="9" t="s">
        <v>38</v>
      </c>
      <c r="AA62" s="8">
        <v>17758374122</v>
      </c>
      <c r="AB62" s="8">
        <v>11186304784</v>
      </c>
      <c r="AC62" s="8">
        <v>11186304784</v>
      </c>
      <c r="AD62" s="9" t="s">
        <v>38</v>
      </c>
      <c r="AE62" s="9"/>
      <c r="AF62" s="2"/>
      <c r="AG62" s="2"/>
      <c r="AH62" s="2" t="s">
        <v>83</v>
      </c>
      <c r="AI62" s="2" t="s">
        <v>41</v>
      </c>
      <c r="AJ62" s="2"/>
      <c r="AK62" s="2" t="s">
        <v>98</v>
      </c>
      <c r="AL62" s="2"/>
      <c r="AM62" s="2"/>
      <c r="AN62" s="2"/>
      <c r="AO62" s="2"/>
      <c r="AP62" s="9"/>
      <c r="AQ62" s="10" t="s">
        <v>43</v>
      </c>
      <c r="AR62" s="9"/>
      <c r="AS62" s="9"/>
      <c r="AT62" s="50" t="s">
        <v>503</v>
      </c>
      <c r="AU62" s="35">
        <f t="shared" si="0"/>
        <v>1</v>
      </c>
      <c r="AV62" s="35">
        <f t="shared" si="1"/>
        <v>1900</v>
      </c>
    </row>
    <row r="63" spans="1:48" ht="39">
      <c r="A63" s="2">
        <v>35</v>
      </c>
      <c r="B63" s="2">
        <v>1000000000007520</v>
      </c>
      <c r="C63" s="3" t="s">
        <v>260</v>
      </c>
      <c r="D63" s="2"/>
      <c r="E63" s="2" t="s">
        <v>52</v>
      </c>
      <c r="F63" s="2" t="s">
        <v>53</v>
      </c>
      <c r="G63" s="2" t="s">
        <v>34</v>
      </c>
      <c r="H63" s="2"/>
      <c r="I63" s="3" t="s">
        <v>261</v>
      </c>
      <c r="J63" s="3"/>
      <c r="K63" s="2" t="s">
        <v>55</v>
      </c>
      <c r="L63" s="3" t="s">
        <v>37</v>
      </c>
      <c r="M63" s="4">
        <v>44278</v>
      </c>
      <c r="N63" s="2"/>
      <c r="O63" s="2"/>
      <c r="P63" s="5">
        <v>12100000000</v>
      </c>
      <c r="Q63" s="6">
        <v>21538841990</v>
      </c>
      <c r="R63" s="6">
        <v>33638841990</v>
      </c>
      <c r="S63" s="6">
        <v>2993424747</v>
      </c>
      <c r="T63" s="6">
        <v>36632266737</v>
      </c>
      <c r="U63" s="7">
        <v>27066577000</v>
      </c>
      <c r="V63" s="7">
        <v>29534220550</v>
      </c>
      <c r="W63" s="8">
        <v>7098046187</v>
      </c>
      <c r="X63" s="8">
        <v>28162891700</v>
      </c>
      <c r="Y63" s="8">
        <v>19107582257</v>
      </c>
      <c r="Z63" s="9" t="s">
        <v>38</v>
      </c>
      <c r="AA63" s="8">
        <v>9055309443</v>
      </c>
      <c r="AB63" s="8">
        <v>2740784980</v>
      </c>
      <c r="AC63" s="8">
        <v>2740784980</v>
      </c>
      <c r="AD63" s="9" t="s">
        <v>38</v>
      </c>
      <c r="AE63" s="9"/>
      <c r="AF63" s="2"/>
      <c r="AG63" s="2"/>
      <c r="AH63" s="2" t="s">
        <v>83</v>
      </c>
      <c r="AI63" s="2" t="s">
        <v>58</v>
      </c>
      <c r="AJ63" s="2"/>
      <c r="AK63" s="2" t="s">
        <v>42</v>
      </c>
      <c r="AL63" s="2"/>
      <c r="AM63" s="2"/>
      <c r="AN63" s="2"/>
      <c r="AO63" s="4">
        <v>46280</v>
      </c>
      <c r="AP63" s="9"/>
      <c r="AQ63" s="10" t="s">
        <v>43</v>
      </c>
      <c r="AR63" s="9"/>
      <c r="AS63" s="9"/>
      <c r="AT63" s="17" t="s">
        <v>502</v>
      </c>
      <c r="AU63" s="35">
        <f t="shared" si="0"/>
        <v>1</v>
      </c>
      <c r="AV63" s="35">
        <f t="shared" si="1"/>
        <v>2026</v>
      </c>
    </row>
    <row r="64" spans="1:48" ht="39">
      <c r="A64" s="2">
        <v>36</v>
      </c>
      <c r="B64" s="2">
        <v>1000000000006140</v>
      </c>
      <c r="C64" s="3" t="s">
        <v>262</v>
      </c>
      <c r="D64" s="2"/>
      <c r="E64" s="2" t="s">
        <v>52</v>
      </c>
      <c r="F64" s="2" t="s">
        <v>53</v>
      </c>
      <c r="G64" s="2" t="s">
        <v>34</v>
      </c>
      <c r="H64" s="2"/>
      <c r="I64" s="3" t="s">
        <v>263</v>
      </c>
      <c r="J64" s="3"/>
      <c r="K64" s="2" t="s">
        <v>86</v>
      </c>
      <c r="L64" s="3" t="s">
        <v>228</v>
      </c>
      <c r="M64" s="4">
        <v>44060</v>
      </c>
      <c r="N64" s="2"/>
      <c r="O64" s="2"/>
      <c r="P64" s="5">
        <v>12839317572</v>
      </c>
      <c r="Q64" s="6">
        <v>2249244281</v>
      </c>
      <c r="R64" s="6">
        <v>15088561853</v>
      </c>
      <c r="S64" s="6">
        <v>1508381014</v>
      </c>
      <c r="T64" s="6">
        <v>16596942867</v>
      </c>
      <c r="U64" s="7">
        <v>15088561853</v>
      </c>
      <c r="V64" s="7">
        <v>16596942867</v>
      </c>
      <c r="W64" s="9" t="s">
        <v>38</v>
      </c>
      <c r="X64" s="8">
        <v>16596942867</v>
      </c>
      <c r="Y64" s="8">
        <v>14717741561</v>
      </c>
      <c r="Z64" s="9" t="s">
        <v>38</v>
      </c>
      <c r="AA64" s="8">
        <v>1879201306</v>
      </c>
      <c r="AB64" s="8">
        <v>1283931757</v>
      </c>
      <c r="AC64" s="8">
        <v>1283931757</v>
      </c>
      <c r="AD64" s="9" t="s">
        <v>38</v>
      </c>
      <c r="AE64" s="9"/>
      <c r="AF64" s="2"/>
      <c r="AG64" s="2"/>
      <c r="AH64" s="2" t="s">
        <v>40</v>
      </c>
      <c r="AI64" s="2" t="s">
        <v>88</v>
      </c>
      <c r="AJ64" s="2"/>
      <c r="AK64" s="2"/>
      <c r="AL64" s="2"/>
      <c r="AM64" s="2"/>
      <c r="AN64" s="2"/>
      <c r="AO64" s="2"/>
      <c r="AP64" s="9"/>
      <c r="AQ64" s="10" t="s">
        <v>43</v>
      </c>
      <c r="AR64" s="9"/>
      <c r="AS64" s="9"/>
      <c r="AT64" s="50" t="s">
        <v>503</v>
      </c>
      <c r="AU64" s="35">
        <f t="shared" si="0"/>
        <v>1</v>
      </c>
      <c r="AV64" s="35">
        <f t="shared" si="1"/>
        <v>1900</v>
      </c>
    </row>
    <row r="65" spans="1:48" ht="39">
      <c r="A65" s="2">
        <v>37</v>
      </c>
      <c r="B65" s="2">
        <v>1000000000007740</v>
      </c>
      <c r="C65" s="3" t="s">
        <v>264</v>
      </c>
      <c r="D65" s="2"/>
      <c r="E65" s="2" t="s">
        <v>52</v>
      </c>
      <c r="F65" s="2" t="s">
        <v>53</v>
      </c>
      <c r="G65" s="2" t="s">
        <v>34</v>
      </c>
      <c r="H65" s="2"/>
      <c r="I65" s="3" t="s">
        <v>265</v>
      </c>
      <c r="J65" s="3"/>
      <c r="K65" s="2" t="s">
        <v>55</v>
      </c>
      <c r="L65" s="3" t="s">
        <v>266</v>
      </c>
      <c r="M65" s="4">
        <v>44288</v>
      </c>
      <c r="N65" s="2"/>
      <c r="O65" s="2"/>
      <c r="P65" s="5">
        <v>106800000000</v>
      </c>
      <c r="Q65" s="6">
        <v>207188831615</v>
      </c>
      <c r="R65" s="6">
        <v>313988831615</v>
      </c>
      <c r="S65" s="6">
        <v>26570035050</v>
      </c>
      <c r="T65" s="6">
        <v>340558866665</v>
      </c>
      <c r="U65" s="7">
        <v>313988831615</v>
      </c>
      <c r="V65" s="7">
        <v>340558866665</v>
      </c>
      <c r="W65" s="9" t="s">
        <v>38</v>
      </c>
      <c r="X65" s="8">
        <v>324756425085</v>
      </c>
      <c r="Y65" s="8">
        <v>303145824439</v>
      </c>
      <c r="Z65" s="9" t="s">
        <v>38</v>
      </c>
      <c r="AA65" s="8">
        <v>21610600646</v>
      </c>
      <c r="AB65" s="8">
        <v>44657819525</v>
      </c>
      <c r="AC65" s="8">
        <v>44657819525</v>
      </c>
      <c r="AD65" s="9" t="s">
        <v>38</v>
      </c>
      <c r="AE65" s="9"/>
      <c r="AF65" s="2"/>
      <c r="AG65" s="2"/>
      <c r="AH65" s="2" t="s">
        <v>50</v>
      </c>
      <c r="AI65" s="2" t="s">
        <v>88</v>
      </c>
      <c r="AJ65" s="2"/>
      <c r="AK65" s="2" t="s">
        <v>98</v>
      </c>
      <c r="AL65" s="2" t="s">
        <v>42</v>
      </c>
      <c r="AM65" s="2"/>
      <c r="AN65" s="2"/>
      <c r="AO65" s="4">
        <v>46203</v>
      </c>
      <c r="AP65" s="9"/>
      <c r="AQ65" s="10" t="s">
        <v>43</v>
      </c>
      <c r="AR65" s="9"/>
      <c r="AS65" s="9"/>
      <c r="AT65" s="17" t="s">
        <v>502</v>
      </c>
      <c r="AU65" s="35">
        <f t="shared" si="0"/>
        <v>1</v>
      </c>
      <c r="AV65" s="35">
        <f t="shared" si="1"/>
        <v>2026</v>
      </c>
    </row>
    <row r="66" spans="1:48" ht="39">
      <c r="A66" s="2">
        <v>38</v>
      </c>
      <c r="B66" s="2">
        <v>1000000000006220</v>
      </c>
      <c r="C66" s="3" t="s">
        <v>267</v>
      </c>
      <c r="D66" s="2"/>
      <c r="E66" s="2" t="s">
        <v>52</v>
      </c>
      <c r="F66" s="2" t="s">
        <v>53</v>
      </c>
      <c r="G66" s="2" t="s">
        <v>34</v>
      </c>
      <c r="H66" s="2"/>
      <c r="I66" s="3" t="s">
        <v>268</v>
      </c>
      <c r="J66" s="3"/>
      <c r="K66" s="2" t="s">
        <v>86</v>
      </c>
      <c r="L66" s="3" t="s">
        <v>269</v>
      </c>
      <c r="M66" s="4">
        <v>44060</v>
      </c>
      <c r="N66" s="2"/>
      <c r="O66" s="2"/>
      <c r="P66" s="5">
        <v>77181818182</v>
      </c>
      <c r="Q66" s="6">
        <v>-72044574792</v>
      </c>
      <c r="R66" s="6">
        <v>5137243390</v>
      </c>
      <c r="S66" s="6">
        <v>490541491</v>
      </c>
      <c r="T66" s="6">
        <v>5627784881</v>
      </c>
      <c r="U66" s="7">
        <v>5137243390</v>
      </c>
      <c r="V66" s="7">
        <v>5627784881</v>
      </c>
      <c r="W66" s="9" t="s">
        <v>38</v>
      </c>
      <c r="X66" s="8">
        <v>5627784881</v>
      </c>
      <c r="Y66" s="8">
        <v>5627784881</v>
      </c>
      <c r="Z66" s="9" t="s">
        <v>38</v>
      </c>
      <c r="AA66" s="9" t="s">
        <v>38</v>
      </c>
      <c r="AB66" s="8">
        <v>8410058924</v>
      </c>
      <c r="AC66" s="8">
        <v>8410058924</v>
      </c>
      <c r="AD66" s="9" t="s">
        <v>38</v>
      </c>
      <c r="AE66" s="9"/>
      <c r="AF66" s="2"/>
      <c r="AG66" s="2"/>
      <c r="AH66" s="2" t="s">
        <v>40</v>
      </c>
      <c r="AI66" s="2" t="s">
        <v>88</v>
      </c>
      <c r="AJ66" s="2"/>
      <c r="AK66" s="2"/>
      <c r="AL66" s="2"/>
      <c r="AM66" s="2"/>
      <c r="AN66" s="2"/>
      <c r="AO66" s="2"/>
      <c r="AP66" s="9"/>
      <c r="AQ66" s="10" t="s">
        <v>43</v>
      </c>
      <c r="AR66" s="9"/>
      <c r="AS66" s="9"/>
      <c r="AT66" s="50" t="s">
        <v>503</v>
      </c>
      <c r="AU66" s="35">
        <f t="shared" si="0"/>
        <v>1</v>
      </c>
      <c r="AV66" s="35">
        <f t="shared" si="1"/>
        <v>1900</v>
      </c>
    </row>
    <row r="67" spans="1:48" ht="39">
      <c r="A67" s="2">
        <v>39</v>
      </c>
      <c r="B67" s="2">
        <v>1000000000006820</v>
      </c>
      <c r="C67" s="3" t="s">
        <v>270</v>
      </c>
      <c r="D67" s="2"/>
      <c r="E67" s="2" t="s">
        <v>52</v>
      </c>
      <c r="F67" s="2" t="s">
        <v>53</v>
      </c>
      <c r="G67" s="2" t="s">
        <v>34</v>
      </c>
      <c r="H67" s="2"/>
      <c r="I67" s="3" t="s">
        <v>271</v>
      </c>
      <c r="J67" s="3"/>
      <c r="K67" s="2" t="s">
        <v>55</v>
      </c>
      <c r="L67" s="3" t="s">
        <v>236</v>
      </c>
      <c r="M67" s="4">
        <v>44126</v>
      </c>
      <c r="N67" s="2"/>
      <c r="O67" s="2"/>
      <c r="P67" s="5">
        <v>1141576000</v>
      </c>
      <c r="Q67" s="15"/>
      <c r="R67" s="6">
        <v>1141576000</v>
      </c>
      <c r="S67" s="6">
        <v>114157600</v>
      </c>
      <c r="T67" s="6">
        <v>1255733600</v>
      </c>
      <c r="U67" s="7">
        <v>1141576000</v>
      </c>
      <c r="V67" s="7">
        <v>1255733600</v>
      </c>
      <c r="W67" s="9" t="s">
        <v>38</v>
      </c>
      <c r="X67" s="8">
        <v>1255733600</v>
      </c>
      <c r="Y67" s="8">
        <v>1141576000</v>
      </c>
      <c r="Z67" s="9" t="s">
        <v>38</v>
      </c>
      <c r="AA67" s="8">
        <v>114157600</v>
      </c>
      <c r="AB67" s="9" t="s">
        <v>38</v>
      </c>
      <c r="AC67" s="9" t="s">
        <v>38</v>
      </c>
      <c r="AD67" s="9" t="s">
        <v>38</v>
      </c>
      <c r="AE67" s="9"/>
      <c r="AF67" s="2"/>
      <c r="AG67" s="2"/>
      <c r="AH67" s="2" t="s">
        <v>40</v>
      </c>
      <c r="AI67" s="2" t="s">
        <v>88</v>
      </c>
      <c r="AJ67" s="2"/>
      <c r="AK67" s="2"/>
      <c r="AL67" s="2"/>
      <c r="AM67" s="2"/>
      <c r="AN67" s="2"/>
      <c r="AO67" s="2"/>
      <c r="AP67" s="9"/>
      <c r="AQ67" s="10" t="s">
        <v>43</v>
      </c>
      <c r="AR67" s="9"/>
      <c r="AS67" s="9"/>
      <c r="AT67" s="50" t="s">
        <v>503</v>
      </c>
      <c r="AU67" s="35">
        <f t="shared" si="0"/>
        <v>1</v>
      </c>
      <c r="AV67" s="35">
        <f t="shared" si="1"/>
        <v>1900</v>
      </c>
    </row>
    <row r="68" spans="1:48" ht="39">
      <c r="A68" s="2">
        <v>40</v>
      </c>
      <c r="B68" s="2">
        <v>1000000000008720</v>
      </c>
      <c r="C68" s="3" t="s">
        <v>272</v>
      </c>
      <c r="D68" s="2"/>
      <c r="E68" s="2" t="s">
        <v>52</v>
      </c>
      <c r="F68" s="2" t="s">
        <v>53</v>
      </c>
      <c r="G68" s="2" t="s">
        <v>34</v>
      </c>
      <c r="H68" s="2"/>
      <c r="I68" s="3" t="s">
        <v>273</v>
      </c>
      <c r="J68" s="3"/>
      <c r="K68" s="2" t="s">
        <v>55</v>
      </c>
      <c r="L68" s="3" t="s">
        <v>274</v>
      </c>
      <c r="M68" s="4">
        <v>44318</v>
      </c>
      <c r="N68" s="2"/>
      <c r="O68" s="2"/>
      <c r="P68" s="5">
        <v>25589263446</v>
      </c>
      <c r="Q68" s="6">
        <v>15554286825</v>
      </c>
      <c r="R68" s="6">
        <v>41143550271</v>
      </c>
      <c r="S68" s="6">
        <v>4114355027</v>
      </c>
      <c r="T68" s="6">
        <v>45257905298</v>
      </c>
      <c r="U68" s="7">
        <v>36334557244</v>
      </c>
      <c r="V68" s="7">
        <v>39968012969</v>
      </c>
      <c r="W68" s="8">
        <v>5289892329</v>
      </c>
      <c r="X68" s="8">
        <v>36323557245</v>
      </c>
      <c r="Y68" s="8">
        <v>36323557245</v>
      </c>
      <c r="Z68" s="9" t="s">
        <v>38</v>
      </c>
      <c r="AA68" s="9" t="s">
        <v>38</v>
      </c>
      <c r="AB68" s="8">
        <v>2558926345</v>
      </c>
      <c r="AC68" s="8">
        <v>2558926345</v>
      </c>
      <c r="AD68" s="9" t="s">
        <v>38</v>
      </c>
      <c r="AE68" s="9"/>
      <c r="AF68" s="2"/>
      <c r="AG68" s="2"/>
      <c r="AH68" s="2" t="s">
        <v>50</v>
      </c>
      <c r="AI68" s="2" t="s">
        <v>41</v>
      </c>
      <c r="AJ68" s="2"/>
      <c r="AK68" s="2" t="s">
        <v>275</v>
      </c>
      <c r="AL68" s="2"/>
      <c r="AM68" s="2"/>
      <c r="AN68" s="2"/>
      <c r="AO68" s="4">
        <v>46477</v>
      </c>
      <c r="AP68" s="9"/>
      <c r="AQ68" s="10" t="s">
        <v>43</v>
      </c>
      <c r="AR68" s="9"/>
      <c r="AS68" s="9"/>
      <c r="AT68" s="50" t="s">
        <v>503</v>
      </c>
      <c r="AU68" s="35">
        <f t="shared" si="0"/>
        <v>1</v>
      </c>
      <c r="AV68" s="35">
        <f t="shared" si="1"/>
        <v>2027</v>
      </c>
    </row>
    <row r="69" spans="1:48" ht="39">
      <c r="A69" s="2">
        <v>41</v>
      </c>
      <c r="B69" s="2">
        <v>1000000000006940</v>
      </c>
      <c r="C69" s="3" t="s">
        <v>276</v>
      </c>
      <c r="D69" s="2"/>
      <c r="E69" s="2" t="s">
        <v>52</v>
      </c>
      <c r="F69" s="2" t="s">
        <v>53</v>
      </c>
      <c r="G69" s="2" t="s">
        <v>34</v>
      </c>
      <c r="H69" s="2"/>
      <c r="I69" s="3" t="s">
        <v>277</v>
      </c>
      <c r="J69" s="3"/>
      <c r="K69" s="2" t="s">
        <v>55</v>
      </c>
      <c r="L69" s="3" t="s">
        <v>236</v>
      </c>
      <c r="M69" s="4">
        <v>44144</v>
      </c>
      <c r="N69" s="2"/>
      <c r="O69" s="2"/>
      <c r="P69" s="5">
        <v>8498000000</v>
      </c>
      <c r="Q69" s="6">
        <v>6536605693</v>
      </c>
      <c r="R69" s="6">
        <v>15034605693</v>
      </c>
      <c r="S69" s="6">
        <v>1418639069</v>
      </c>
      <c r="T69" s="6">
        <v>16453244762</v>
      </c>
      <c r="U69" s="7">
        <v>15034605693</v>
      </c>
      <c r="V69" s="7">
        <v>16453244762</v>
      </c>
      <c r="W69" s="9" t="s">
        <v>38</v>
      </c>
      <c r="X69" s="8">
        <v>16453244762</v>
      </c>
      <c r="Y69" s="8">
        <v>16453244762</v>
      </c>
      <c r="Z69" s="9" t="s">
        <v>38</v>
      </c>
      <c r="AA69" s="9" t="s">
        <v>38</v>
      </c>
      <c r="AB69" s="9" t="s">
        <v>38</v>
      </c>
      <c r="AC69" s="9" t="s">
        <v>38</v>
      </c>
      <c r="AD69" s="9" t="s">
        <v>38</v>
      </c>
      <c r="AE69" s="9"/>
      <c r="AF69" s="2"/>
      <c r="AG69" s="2"/>
      <c r="AH69" s="2" t="s">
        <v>40</v>
      </c>
      <c r="AI69" s="2" t="s">
        <v>88</v>
      </c>
      <c r="AJ69" s="2"/>
      <c r="AK69" s="2"/>
      <c r="AL69" s="2"/>
      <c r="AM69" s="2"/>
      <c r="AN69" s="2"/>
      <c r="AO69" s="2"/>
      <c r="AP69" s="9"/>
      <c r="AQ69" s="10" t="s">
        <v>43</v>
      </c>
      <c r="AR69" s="9"/>
      <c r="AS69" s="9"/>
      <c r="AT69" s="50" t="s">
        <v>503</v>
      </c>
      <c r="AU69" s="35">
        <f t="shared" si="0"/>
        <v>1</v>
      </c>
      <c r="AV69" s="35">
        <f t="shared" si="1"/>
        <v>1900</v>
      </c>
    </row>
    <row r="70" spans="1:48" ht="39">
      <c r="A70" s="2">
        <v>42</v>
      </c>
      <c r="B70" s="2">
        <v>1000000000007000</v>
      </c>
      <c r="C70" s="3" t="s">
        <v>278</v>
      </c>
      <c r="D70" s="2"/>
      <c r="E70" s="2" t="s">
        <v>52</v>
      </c>
      <c r="F70" s="2" t="s">
        <v>53</v>
      </c>
      <c r="G70" s="2" t="s">
        <v>34</v>
      </c>
      <c r="H70" s="2"/>
      <c r="I70" s="3" t="s">
        <v>279</v>
      </c>
      <c r="J70" s="3"/>
      <c r="K70" s="2" t="s">
        <v>86</v>
      </c>
      <c r="L70" s="3" t="s">
        <v>280</v>
      </c>
      <c r="M70" s="4">
        <v>44062</v>
      </c>
      <c r="N70" s="2"/>
      <c r="O70" s="2"/>
      <c r="P70" s="5">
        <v>23454545455</v>
      </c>
      <c r="Q70" s="6">
        <v>-480152673</v>
      </c>
      <c r="R70" s="6">
        <v>22974392782</v>
      </c>
      <c r="S70" s="6">
        <v>2297439278</v>
      </c>
      <c r="T70" s="6">
        <v>25271832060</v>
      </c>
      <c r="U70" s="7">
        <v>22974392782</v>
      </c>
      <c r="V70" s="7">
        <v>25271832060</v>
      </c>
      <c r="W70" s="9" t="s">
        <v>38</v>
      </c>
      <c r="X70" s="8">
        <v>25271832060</v>
      </c>
      <c r="Y70" s="8">
        <v>25271832060</v>
      </c>
      <c r="Z70" s="9" t="s">
        <v>38</v>
      </c>
      <c r="AA70" s="9" t="s">
        <v>38</v>
      </c>
      <c r="AB70" s="9" t="s">
        <v>38</v>
      </c>
      <c r="AC70" s="9" t="s">
        <v>38</v>
      </c>
      <c r="AD70" s="9" t="s">
        <v>38</v>
      </c>
      <c r="AE70" s="9"/>
      <c r="AF70" s="2"/>
      <c r="AG70" s="2"/>
      <c r="AH70" s="2" t="s">
        <v>40</v>
      </c>
      <c r="AI70" s="2" t="s">
        <v>88</v>
      </c>
      <c r="AJ70" s="2"/>
      <c r="AK70" s="2"/>
      <c r="AL70" s="2"/>
      <c r="AM70" s="2"/>
      <c r="AN70" s="2"/>
      <c r="AO70" s="2"/>
      <c r="AP70" s="9"/>
      <c r="AQ70" s="10" t="s">
        <v>43</v>
      </c>
      <c r="AR70" s="9"/>
      <c r="AS70" s="9"/>
      <c r="AT70" s="50" t="s">
        <v>503</v>
      </c>
      <c r="AU70" s="35">
        <f t="shared" ref="AU70:AU133" si="2">IF(AT70&lt;&gt;"",1,0)</f>
        <v>1</v>
      </c>
      <c r="AV70" s="35">
        <f t="shared" ref="AV70:AV133" si="3">YEAR(AO70)</f>
        <v>1900</v>
      </c>
    </row>
    <row r="71" spans="1:48" ht="39">
      <c r="A71" s="2">
        <v>43</v>
      </c>
      <c r="B71" s="2">
        <v>1000000000007010</v>
      </c>
      <c r="C71" s="3" t="s">
        <v>281</v>
      </c>
      <c r="D71" s="2"/>
      <c r="E71" s="2" t="s">
        <v>52</v>
      </c>
      <c r="F71" s="2" t="s">
        <v>53</v>
      </c>
      <c r="G71" s="2" t="s">
        <v>34</v>
      </c>
      <c r="H71" s="2"/>
      <c r="I71" s="3" t="s">
        <v>282</v>
      </c>
      <c r="J71" s="3"/>
      <c r="K71" s="2" t="s">
        <v>86</v>
      </c>
      <c r="L71" s="3" t="s">
        <v>68</v>
      </c>
      <c r="M71" s="4">
        <v>44217</v>
      </c>
      <c r="N71" s="2"/>
      <c r="O71" s="2"/>
      <c r="P71" s="5">
        <v>22940909091</v>
      </c>
      <c r="Q71" s="6">
        <v>-1750677436</v>
      </c>
      <c r="R71" s="6">
        <v>21190231655</v>
      </c>
      <c r="S71" s="6">
        <v>1975344712</v>
      </c>
      <c r="T71" s="6">
        <v>23165576367</v>
      </c>
      <c r="U71" s="7">
        <v>21190231655</v>
      </c>
      <c r="V71" s="7">
        <v>23165576367</v>
      </c>
      <c r="W71" s="9" t="s">
        <v>38</v>
      </c>
      <c r="X71" s="8">
        <v>22136924345</v>
      </c>
      <c r="Y71" s="8">
        <v>16828688470</v>
      </c>
      <c r="Z71" s="9" t="s">
        <v>38</v>
      </c>
      <c r="AA71" s="8">
        <v>5308235875</v>
      </c>
      <c r="AB71" s="9" t="s">
        <v>38</v>
      </c>
      <c r="AC71" s="9" t="s">
        <v>38</v>
      </c>
      <c r="AD71" s="9" t="s">
        <v>38</v>
      </c>
      <c r="AE71" s="9"/>
      <c r="AF71" s="2"/>
      <c r="AG71" s="2"/>
      <c r="AH71" s="2" t="s">
        <v>40</v>
      </c>
      <c r="AI71" s="2" t="s">
        <v>88</v>
      </c>
      <c r="AJ71" s="2"/>
      <c r="AK71" s="2"/>
      <c r="AL71" s="2"/>
      <c r="AM71" s="2"/>
      <c r="AN71" s="2"/>
      <c r="AO71" s="2"/>
      <c r="AP71" s="9"/>
      <c r="AQ71" s="10" t="s">
        <v>43</v>
      </c>
      <c r="AR71" s="9"/>
      <c r="AS71" s="9"/>
      <c r="AT71" s="50" t="s">
        <v>503</v>
      </c>
      <c r="AU71" s="35">
        <f t="shared" si="2"/>
        <v>1</v>
      </c>
      <c r="AV71" s="35">
        <f t="shared" si="3"/>
        <v>1900</v>
      </c>
    </row>
    <row r="72" spans="1:48" ht="39">
      <c r="A72" s="2">
        <v>44</v>
      </c>
      <c r="B72" s="2">
        <v>1000000000007080</v>
      </c>
      <c r="C72" s="3" t="s">
        <v>283</v>
      </c>
      <c r="D72" s="2"/>
      <c r="E72" s="2" t="s">
        <v>52</v>
      </c>
      <c r="F72" s="2" t="s">
        <v>53</v>
      </c>
      <c r="G72" s="2" t="s">
        <v>34</v>
      </c>
      <c r="H72" s="2"/>
      <c r="I72" s="3" t="s">
        <v>284</v>
      </c>
      <c r="J72" s="3"/>
      <c r="K72" s="2" t="s">
        <v>86</v>
      </c>
      <c r="L72" s="3" t="s">
        <v>176</v>
      </c>
      <c r="M72" s="4">
        <v>44166</v>
      </c>
      <c r="N72" s="2"/>
      <c r="O72" s="2"/>
      <c r="P72" s="5">
        <v>6037241885</v>
      </c>
      <c r="Q72" s="6">
        <v>8563764607</v>
      </c>
      <c r="R72" s="6">
        <v>14601006492</v>
      </c>
      <c r="S72" s="6">
        <v>1460100649</v>
      </c>
      <c r="T72" s="6">
        <v>16061107141</v>
      </c>
      <c r="U72" s="7">
        <v>14601006492</v>
      </c>
      <c r="V72" s="7">
        <v>16061107141</v>
      </c>
      <c r="W72" s="9" t="s">
        <v>38</v>
      </c>
      <c r="X72" s="8">
        <v>16061107141</v>
      </c>
      <c r="Y72" s="8">
        <v>13102813760</v>
      </c>
      <c r="Z72" s="9" t="s">
        <v>38</v>
      </c>
      <c r="AA72" s="8">
        <v>2958293381</v>
      </c>
      <c r="AB72" s="8">
        <v>603724189</v>
      </c>
      <c r="AC72" s="8">
        <v>603724189</v>
      </c>
      <c r="AD72" s="9" t="s">
        <v>38</v>
      </c>
      <c r="AE72" s="9"/>
      <c r="AF72" s="2"/>
      <c r="AG72" s="2"/>
      <c r="AH72" s="2" t="s">
        <v>40</v>
      </c>
      <c r="AI72" s="2" t="s">
        <v>88</v>
      </c>
      <c r="AJ72" s="2"/>
      <c r="AK72" s="2"/>
      <c r="AL72" s="2"/>
      <c r="AM72" s="2"/>
      <c r="AN72" s="2"/>
      <c r="AO72" s="2"/>
      <c r="AP72" s="9"/>
      <c r="AQ72" s="10" t="s">
        <v>43</v>
      </c>
      <c r="AR72" s="9"/>
      <c r="AS72" s="9"/>
      <c r="AT72" s="50" t="s">
        <v>503</v>
      </c>
      <c r="AU72" s="35">
        <f t="shared" si="2"/>
        <v>1</v>
      </c>
      <c r="AV72" s="35">
        <f t="shared" si="3"/>
        <v>1900</v>
      </c>
    </row>
    <row r="73" spans="1:48" ht="39">
      <c r="A73" s="2">
        <v>45</v>
      </c>
      <c r="B73" s="2">
        <v>1000000000007110</v>
      </c>
      <c r="C73" s="3" t="s">
        <v>285</v>
      </c>
      <c r="D73" s="2"/>
      <c r="E73" s="2" t="s">
        <v>52</v>
      </c>
      <c r="F73" s="2" t="s">
        <v>53</v>
      </c>
      <c r="G73" s="2" t="s">
        <v>34</v>
      </c>
      <c r="H73" s="2"/>
      <c r="I73" s="3" t="s">
        <v>286</v>
      </c>
      <c r="J73" s="3"/>
      <c r="K73" s="2" t="s">
        <v>86</v>
      </c>
      <c r="L73" s="3" t="s">
        <v>287</v>
      </c>
      <c r="M73" s="4">
        <v>44089</v>
      </c>
      <c r="N73" s="2"/>
      <c r="O73" s="2"/>
      <c r="P73" s="5">
        <v>3432069269</v>
      </c>
      <c r="Q73" s="15"/>
      <c r="R73" s="6">
        <v>3432069269</v>
      </c>
      <c r="S73" s="6">
        <v>343206927</v>
      </c>
      <c r="T73" s="6">
        <v>3775276196</v>
      </c>
      <c r="U73" s="7">
        <v>3432069269</v>
      </c>
      <c r="V73" s="7">
        <v>3775276196</v>
      </c>
      <c r="W73" s="9" t="s">
        <v>38</v>
      </c>
      <c r="X73" s="8">
        <v>3286280095</v>
      </c>
      <c r="Y73" s="8">
        <v>3286280095</v>
      </c>
      <c r="Z73" s="9" t="s">
        <v>38</v>
      </c>
      <c r="AA73" s="9" t="s">
        <v>38</v>
      </c>
      <c r="AB73" s="9" t="s">
        <v>38</v>
      </c>
      <c r="AC73" s="9" t="s">
        <v>38</v>
      </c>
      <c r="AD73" s="9" t="s">
        <v>38</v>
      </c>
      <c r="AE73" s="9"/>
      <c r="AF73" s="2"/>
      <c r="AG73" s="2"/>
      <c r="AH73" s="2" t="s">
        <v>40</v>
      </c>
      <c r="AI73" s="2" t="s">
        <v>88</v>
      </c>
      <c r="AJ73" s="2"/>
      <c r="AK73" s="2"/>
      <c r="AL73" s="2"/>
      <c r="AM73" s="2"/>
      <c r="AN73" s="2"/>
      <c r="AO73" s="2"/>
      <c r="AP73" s="9"/>
      <c r="AQ73" s="10" t="s">
        <v>43</v>
      </c>
      <c r="AR73" s="9"/>
      <c r="AS73" s="9"/>
      <c r="AT73" s="50" t="s">
        <v>503</v>
      </c>
      <c r="AU73" s="35">
        <f t="shared" si="2"/>
        <v>1</v>
      </c>
      <c r="AV73" s="35">
        <f t="shared" si="3"/>
        <v>1900</v>
      </c>
    </row>
    <row r="74" spans="1:48" ht="39">
      <c r="A74" s="2">
        <v>46</v>
      </c>
      <c r="B74" s="2">
        <v>1000000000007460</v>
      </c>
      <c r="C74" s="3" t="s">
        <v>288</v>
      </c>
      <c r="D74" s="2"/>
      <c r="E74" s="2" t="s">
        <v>52</v>
      </c>
      <c r="F74" s="2" t="s">
        <v>53</v>
      </c>
      <c r="G74" s="2" t="s">
        <v>34</v>
      </c>
      <c r="H74" s="2"/>
      <c r="I74" s="3" t="s">
        <v>289</v>
      </c>
      <c r="J74" s="3"/>
      <c r="K74" s="2" t="s">
        <v>86</v>
      </c>
      <c r="L74" s="3" t="s">
        <v>68</v>
      </c>
      <c r="M74" s="4">
        <v>44211</v>
      </c>
      <c r="N74" s="2"/>
      <c r="O74" s="2"/>
      <c r="P74" s="5">
        <v>116098790909</v>
      </c>
      <c r="Q74" s="6">
        <v>82564421806</v>
      </c>
      <c r="R74" s="6">
        <v>198663212715</v>
      </c>
      <c r="S74" s="6">
        <v>17844189263</v>
      </c>
      <c r="T74" s="6">
        <v>216507401978</v>
      </c>
      <c r="U74" s="7">
        <v>198663212715</v>
      </c>
      <c r="V74" s="7">
        <v>216507401978</v>
      </c>
      <c r="W74" s="9" t="s">
        <v>38</v>
      </c>
      <c r="X74" s="8">
        <v>216507401978</v>
      </c>
      <c r="Y74" s="8">
        <v>158318727049</v>
      </c>
      <c r="Z74" s="9" t="s">
        <v>38</v>
      </c>
      <c r="AA74" s="8">
        <v>58188674929</v>
      </c>
      <c r="AB74" s="8">
        <v>17000000000</v>
      </c>
      <c r="AC74" s="8">
        <v>17000000000</v>
      </c>
      <c r="AD74" s="9" t="s">
        <v>38</v>
      </c>
      <c r="AE74" s="9"/>
      <c r="AF74" s="2"/>
      <c r="AG74" s="2"/>
      <c r="AH74" s="2" t="s">
        <v>40</v>
      </c>
      <c r="AI74" s="2" t="s">
        <v>88</v>
      </c>
      <c r="AJ74" s="2"/>
      <c r="AK74" s="2"/>
      <c r="AL74" s="2"/>
      <c r="AM74" s="2"/>
      <c r="AN74" s="2"/>
      <c r="AO74" s="2"/>
      <c r="AP74" s="9"/>
      <c r="AQ74" s="10" t="s">
        <v>43</v>
      </c>
      <c r="AR74" s="9"/>
      <c r="AS74" s="9"/>
      <c r="AT74" s="50" t="s">
        <v>503</v>
      </c>
      <c r="AU74" s="35">
        <f t="shared" si="2"/>
        <v>1</v>
      </c>
      <c r="AV74" s="35">
        <f t="shared" si="3"/>
        <v>1900</v>
      </c>
    </row>
    <row r="75" spans="1:48" ht="39">
      <c r="A75" s="2">
        <v>47</v>
      </c>
      <c r="B75" s="2">
        <v>1000000000009110</v>
      </c>
      <c r="C75" s="3" t="s">
        <v>290</v>
      </c>
      <c r="D75" s="2"/>
      <c r="E75" s="2" t="s">
        <v>52</v>
      </c>
      <c r="F75" s="2" t="s">
        <v>53</v>
      </c>
      <c r="G75" s="2" t="s">
        <v>34</v>
      </c>
      <c r="H75" s="2"/>
      <c r="I75" s="3" t="s">
        <v>291</v>
      </c>
      <c r="J75" s="3"/>
      <c r="K75" s="2" t="s">
        <v>55</v>
      </c>
      <c r="L75" s="3" t="s">
        <v>158</v>
      </c>
      <c r="M75" s="4">
        <v>44407</v>
      </c>
      <c r="N75" s="2"/>
      <c r="O75" s="2"/>
      <c r="P75" s="5">
        <v>3584595918</v>
      </c>
      <c r="Q75" s="6">
        <v>11713798383</v>
      </c>
      <c r="R75" s="6">
        <v>15298394301</v>
      </c>
      <c r="S75" s="6">
        <v>1356856080</v>
      </c>
      <c r="T75" s="6">
        <v>16655250381</v>
      </c>
      <c r="U75" s="7">
        <v>9312969230</v>
      </c>
      <c r="V75" s="7">
        <v>10190991304</v>
      </c>
      <c r="W75" s="8">
        <v>6464259077</v>
      </c>
      <c r="X75" s="8">
        <v>9248694381</v>
      </c>
      <c r="Y75" s="8">
        <v>4595407375</v>
      </c>
      <c r="Z75" s="9" t="s">
        <v>38</v>
      </c>
      <c r="AA75" s="8">
        <v>4653287006</v>
      </c>
      <c r="AB75" s="8">
        <v>746034352</v>
      </c>
      <c r="AC75" s="8">
        <v>746034352</v>
      </c>
      <c r="AD75" s="9" t="s">
        <v>38</v>
      </c>
      <c r="AE75" s="9"/>
      <c r="AF75" s="2"/>
      <c r="AG75" s="2"/>
      <c r="AH75" s="2" t="s">
        <v>83</v>
      </c>
      <c r="AI75" s="2" t="s">
        <v>41</v>
      </c>
      <c r="AJ75" s="2"/>
      <c r="AK75" s="2" t="s">
        <v>98</v>
      </c>
      <c r="AL75" s="2"/>
      <c r="AM75" s="2"/>
      <c r="AN75" s="2"/>
      <c r="AO75" s="2"/>
      <c r="AP75" s="9"/>
      <c r="AQ75" s="10" t="s">
        <v>43</v>
      </c>
      <c r="AR75" s="9"/>
      <c r="AS75" s="9"/>
      <c r="AT75" s="50" t="s">
        <v>503</v>
      </c>
      <c r="AU75" s="35">
        <f t="shared" si="2"/>
        <v>1</v>
      </c>
      <c r="AV75" s="35">
        <f t="shared" si="3"/>
        <v>1900</v>
      </c>
    </row>
    <row r="76" spans="1:48" ht="39">
      <c r="A76" s="2">
        <v>48</v>
      </c>
      <c r="B76" s="2">
        <v>1000000000009110</v>
      </c>
      <c r="C76" s="3" t="s">
        <v>292</v>
      </c>
      <c r="D76" s="2"/>
      <c r="E76" s="2" t="s">
        <v>52</v>
      </c>
      <c r="F76" s="2" t="s">
        <v>53</v>
      </c>
      <c r="G76" s="2" t="s">
        <v>34</v>
      </c>
      <c r="H76" s="2"/>
      <c r="I76" s="3" t="s">
        <v>293</v>
      </c>
      <c r="J76" s="3"/>
      <c r="K76" s="2" t="s">
        <v>55</v>
      </c>
      <c r="L76" s="3" t="s">
        <v>158</v>
      </c>
      <c r="M76" s="4">
        <v>44448</v>
      </c>
      <c r="N76" s="2"/>
      <c r="O76" s="2"/>
      <c r="P76" s="5">
        <v>13721695500</v>
      </c>
      <c r="Q76" s="6">
        <v>9470726311</v>
      </c>
      <c r="R76" s="6">
        <v>23192421811</v>
      </c>
      <c r="S76" s="6">
        <v>2319242182</v>
      </c>
      <c r="T76" s="6">
        <v>25511663993</v>
      </c>
      <c r="U76" s="7">
        <v>21831147287</v>
      </c>
      <c r="V76" s="7">
        <v>24014262017</v>
      </c>
      <c r="W76" s="8">
        <v>1497401976</v>
      </c>
      <c r="X76" s="8">
        <v>20723339924</v>
      </c>
      <c r="Y76" s="8">
        <v>20554501453</v>
      </c>
      <c r="Z76" s="9" t="s">
        <v>38</v>
      </c>
      <c r="AA76" s="8">
        <v>168838471</v>
      </c>
      <c r="AB76" s="8">
        <v>6957726543</v>
      </c>
      <c r="AC76" s="8">
        <v>6957726543</v>
      </c>
      <c r="AD76" s="9" t="s">
        <v>38</v>
      </c>
      <c r="AE76" s="9"/>
      <c r="AF76" s="2"/>
      <c r="AG76" s="2"/>
      <c r="AH76" s="2" t="s">
        <v>83</v>
      </c>
      <c r="AI76" s="2" t="s">
        <v>41</v>
      </c>
      <c r="AJ76" s="2"/>
      <c r="AK76" s="2" t="s">
        <v>98</v>
      </c>
      <c r="AL76" s="2"/>
      <c r="AM76" s="2"/>
      <c r="AN76" s="2"/>
      <c r="AO76" s="2"/>
      <c r="AP76" s="9"/>
      <c r="AQ76" s="10" t="s">
        <v>43</v>
      </c>
      <c r="AR76" s="9"/>
      <c r="AS76" s="9"/>
      <c r="AT76" s="50" t="s">
        <v>503</v>
      </c>
      <c r="AU76" s="35">
        <f t="shared" si="2"/>
        <v>1</v>
      </c>
      <c r="AV76" s="35">
        <f t="shared" si="3"/>
        <v>1900</v>
      </c>
    </row>
    <row r="77" spans="1:48" ht="39">
      <c r="A77" s="2">
        <v>49</v>
      </c>
      <c r="B77" s="2">
        <v>1000000000009170</v>
      </c>
      <c r="C77" s="3" t="s">
        <v>294</v>
      </c>
      <c r="D77" s="2"/>
      <c r="E77" s="2" t="s">
        <v>52</v>
      </c>
      <c r="F77" s="2" t="s">
        <v>53</v>
      </c>
      <c r="G77" s="2" t="s">
        <v>34</v>
      </c>
      <c r="H77" s="2"/>
      <c r="I77" s="3" t="s">
        <v>295</v>
      </c>
      <c r="J77" s="3"/>
      <c r="K77" s="2" t="s">
        <v>55</v>
      </c>
      <c r="L77" s="3" t="s">
        <v>247</v>
      </c>
      <c r="M77" s="4">
        <v>44420</v>
      </c>
      <c r="N77" s="2"/>
      <c r="O77" s="2"/>
      <c r="P77" s="5">
        <v>28232505642</v>
      </c>
      <c r="Q77" s="6">
        <v>2192268687</v>
      </c>
      <c r="R77" s="6">
        <v>30424774329</v>
      </c>
      <c r="S77" s="6">
        <v>2830267914</v>
      </c>
      <c r="T77" s="6">
        <v>33255042243</v>
      </c>
      <c r="U77" s="7">
        <v>30182757926</v>
      </c>
      <c r="V77" s="7">
        <v>32993664529</v>
      </c>
      <c r="W77" s="8">
        <v>261377714</v>
      </c>
      <c r="X77" s="8">
        <v>31484526633</v>
      </c>
      <c r="Y77" s="8">
        <v>23282339238</v>
      </c>
      <c r="Z77" s="9" t="s">
        <v>38</v>
      </c>
      <c r="AA77" s="8">
        <v>8202187395</v>
      </c>
      <c r="AB77" s="9" t="s">
        <v>38</v>
      </c>
      <c r="AC77" s="9" t="s">
        <v>38</v>
      </c>
      <c r="AD77" s="9" t="s">
        <v>38</v>
      </c>
      <c r="AE77" s="9"/>
      <c r="AF77" s="2"/>
      <c r="AG77" s="2"/>
      <c r="AH77" s="2" t="s">
        <v>40</v>
      </c>
      <c r="AI77" s="2" t="s">
        <v>69</v>
      </c>
      <c r="AJ77" s="2"/>
      <c r="AK77" s="2" t="s">
        <v>275</v>
      </c>
      <c r="AL77" s="2"/>
      <c r="AM77" s="2"/>
      <c r="AN77" s="2"/>
      <c r="AO77" s="4">
        <v>46387</v>
      </c>
      <c r="AP77" s="9"/>
      <c r="AQ77" s="10" t="s">
        <v>43</v>
      </c>
      <c r="AR77" s="9"/>
      <c r="AS77" s="9"/>
      <c r="AT77" s="17" t="s">
        <v>502</v>
      </c>
      <c r="AU77" s="35">
        <f t="shared" si="2"/>
        <v>1</v>
      </c>
      <c r="AV77" s="35">
        <f t="shared" si="3"/>
        <v>2026</v>
      </c>
    </row>
    <row r="78" spans="1:48" ht="39">
      <c r="A78" s="2">
        <v>50</v>
      </c>
      <c r="B78" s="2">
        <v>1000000000009350</v>
      </c>
      <c r="C78" s="3" t="s">
        <v>296</v>
      </c>
      <c r="D78" s="2"/>
      <c r="E78" s="2" t="s">
        <v>52</v>
      </c>
      <c r="F78" s="2" t="s">
        <v>53</v>
      </c>
      <c r="G78" s="2" t="s">
        <v>34</v>
      </c>
      <c r="H78" s="2"/>
      <c r="I78" s="3" t="s">
        <v>297</v>
      </c>
      <c r="J78" s="3"/>
      <c r="K78" s="2" t="s">
        <v>55</v>
      </c>
      <c r="L78" s="3" t="s">
        <v>247</v>
      </c>
      <c r="M78" s="4">
        <v>44397</v>
      </c>
      <c r="N78" s="2"/>
      <c r="O78" s="2"/>
      <c r="P78" s="5">
        <v>92529601590</v>
      </c>
      <c r="Q78" s="6">
        <v>50870118299</v>
      </c>
      <c r="R78" s="6">
        <v>143399719889</v>
      </c>
      <c r="S78" s="6">
        <v>11876209612</v>
      </c>
      <c r="T78" s="6">
        <v>155275929501</v>
      </c>
      <c r="U78" s="7">
        <v>119720487864</v>
      </c>
      <c r="V78" s="7">
        <v>130102996426</v>
      </c>
      <c r="W78" s="8">
        <v>25172933075</v>
      </c>
      <c r="X78" s="8">
        <v>124016701445</v>
      </c>
      <c r="Y78" s="8">
        <v>113484749220</v>
      </c>
      <c r="Z78" s="9" t="s">
        <v>38</v>
      </c>
      <c r="AA78" s="8">
        <v>10531952225</v>
      </c>
      <c r="AB78" s="8">
        <v>9252960159</v>
      </c>
      <c r="AC78" s="8">
        <v>8690672607</v>
      </c>
      <c r="AD78" s="8">
        <v>562287552</v>
      </c>
      <c r="AE78" s="9"/>
      <c r="AF78" s="2"/>
      <c r="AG78" s="2"/>
      <c r="AH78" s="2" t="s">
        <v>50</v>
      </c>
      <c r="AI78" s="2" t="s">
        <v>69</v>
      </c>
      <c r="AJ78" s="2"/>
      <c r="AK78" s="2" t="s">
        <v>275</v>
      </c>
      <c r="AL78" s="2" t="s">
        <v>42</v>
      </c>
      <c r="AM78" s="2"/>
      <c r="AN78" s="2"/>
      <c r="AO78" s="4">
        <v>46325</v>
      </c>
      <c r="AP78" s="9"/>
      <c r="AQ78" s="10" t="s">
        <v>43</v>
      </c>
      <c r="AR78" s="9"/>
      <c r="AS78" s="9"/>
      <c r="AT78" s="17" t="s">
        <v>502</v>
      </c>
      <c r="AU78" s="35">
        <f t="shared" si="2"/>
        <v>1</v>
      </c>
      <c r="AV78" s="35">
        <f t="shared" si="3"/>
        <v>2026</v>
      </c>
    </row>
    <row r="79" spans="1:48" ht="39">
      <c r="A79" s="2">
        <v>51</v>
      </c>
      <c r="B79" s="2">
        <v>1000000000007560</v>
      </c>
      <c r="C79" s="3" t="s">
        <v>298</v>
      </c>
      <c r="D79" s="2"/>
      <c r="E79" s="2" t="s">
        <v>52</v>
      </c>
      <c r="F79" s="2" t="s">
        <v>53</v>
      </c>
      <c r="G79" s="2" t="s">
        <v>34</v>
      </c>
      <c r="H79" s="2"/>
      <c r="I79" s="3" t="s">
        <v>299</v>
      </c>
      <c r="J79" s="3"/>
      <c r="K79" s="2" t="s">
        <v>86</v>
      </c>
      <c r="L79" s="3" t="s">
        <v>300</v>
      </c>
      <c r="M79" s="4">
        <v>44274</v>
      </c>
      <c r="N79" s="2"/>
      <c r="O79" s="2"/>
      <c r="P79" s="5">
        <v>11379831331</v>
      </c>
      <c r="Q79" s="6">
        <v>26960489682</v>
      </c>
      <c r="R79" s="6">
        <v>38340321013</v>
      </c>
      <c r="S79" s="6">
        <v>3244203309</v>
      </c>
      <c r="T79" s="6">
        <v>41584524322</v>
      </c>
      <c r="U79" s="7">
        <v>38340321013</v>
      </c>
      <c r="V79" s="7">
        <v>41584524322</v>
      </c>
      <c r="W79" s="9" t="s">
        <v>38</v>
      </c>
      <c r="X79" s="8">
        <v>39667508271</v>
      </c>
      <c r="Y79" s="8">
        <v>23201689315</v>
      </c>
      <c r="Z79" s="9" t="s">
        <v>38</v>
      </c>
      <c r="AA79" s="8">
        <v>16465818956</v>
      </c>
      <c r="AB79" s="8">
        <v>1137983133</v>
      </c>
      <c r="AC79" s="8">
        <v>1137983133</v>
      </c>
      <c r="AD79" s="9" t="s">
        <v>38</v>
      </c>
      <c r="AE79" s="9"/>
      <c r="AF79" s="2"/>
      <c r="AG79" s="2"/>
      <c r="AH79" s="2" t="s">
        <v>40</v>
      </c>
      <c r="AI79" s="2" t="s">
        <v>88</v>
      </c>
      <c r="AJ79" s="2"/>
      <c r="AK79" s="2"/>
      <c r="AL79" s="2"/>
      <c r="AM79" s="2"/>
      <c r="AN79" s="2"/>
      <c r="AO79" s="2"/>
      <c r="AP79" s="9"/>
      <c r="AQ79" s="10" t="s">
        <v>43</v>
      </c>
      <c r="AR79" s="9"/>
      <c r="AS79" s="9"/>
      <c r="AT79" s="50" t="s">
        <v>503</v>
      </c>
      <c r="AU79" s="35">
        <f t="shared" si="2"/>
        <v>1</v>
      </c>
      <c r="AV79" s="35">
        <f t="shared" si="3"/>
        <v>1900</v>
      </c>
    </row>
    <row r="80" spans="1:48" ht="39">
      <c r="A80" s="2">
        <v>52</v>
      </c>
      <c r="B80" s="2">
        <v>1000000000009490</v>
      </c>
      <c r="C80" s="3" t="s">
        <v>301</v>
      </c>
      <c r="D80" s="2"/>
      <c r="E80" s="2" t="s">
        <v>52</v>
      </c>
      <c r="F80" s="2" t="s">
        <v>53</v>
      </c>
      <c r="G80" s="2" t="s">
        <v>34</v>
      </c>
      <c r="H80" s="2"/>
      <c r="I80" s="3" t="s">
        <v>302</v>
      </c>
      <c r="J80" s="3"/>
      <c r="K80" s="2" t="s">
        <v>55</v>
      </c>
      <c r="L80" s="3" t="s">
        <v>303</v>
      </c>
      <c r="M80" s="4">
        <v>44397</v>
      </c>
      <c r="N80" s="2"/>
      <c r="O80" s="2"/>
      <c r="P80" s="5">
        <v>131475851698</v>
      </c>
      <c r="Q80" s="6">
        <v>36350251136</v>
      </c>
      <c r="R80" s="6">
        <v>167826102834</v>
      </c>
      <c r="S80" s="6">
        <v>13497419690</v>
      </c>
      <c r="T80" s="6">
        <v>181323522524</v>
      </c>
      <c r="U80" s="7">
        <v>160154073455</v>
      </c>
      <c r="V80" s="7">
        <v>173582215421</v>
      </c>
      <c r="W80" s="8">
        <v>7741307103</v>
      </c>
      <c r="X80" s="8">
        <v>174265068626</v>
      </c>
      <c r="Y80" s="8">
        <v>150535819450</v>
      </c>
      <c r="Z80" s="9" t="s">
        <v>38</v>
      </c>
      <c r="AA80" s="8">
        <v>23729249176</v>
      </c>
      <c r="AB80" s="8">
        <v>14947518235</v>
      </c>
      <c r="AC80" s="8">
        <v>13767393511</v>
      </c>
      <c r="AD80" s="8">
        <v>1180124724</v>
      </c>
      <c r="AE80" s="9"/>
      <c r="AF80" s="2"/>
      <c r="AG80" s="2"/>
      <c r="AH80" s="2" t="s">
        <v>304</v>
      </c>
      <c r="AI80" s="2" t="s">
        <v>41</v>
      </c>
      <c r="AJ80" s="2"/>
      <c r="AK80" s="2" t="s">
        <v>275</v>
      </c>
      <c r="AL80" s="2"/>
      <c r="AM80" s="2"/>
      <c r="AN80" s="2"/>
      <c r="AO80" s="2"/>
      <c r="AP80" s="9"/>
      <c r="AQ80" s="10" t="s">
        <v>43</v>
      </c>
      <c r="AR80" s="9"/>
      <c r="AS80" s="9"/>
      <c r="AT80" s="50" t="s">
        <v>503</v>
      </c>
      <c r="AU80" s="35">
        <f t="shared" si="2"/>
        <v>1</v>
      </c>
      <c r="AV80" s="35">
        <f t="shared" si="3"/>
        <v>1900</v>
      </c>
    </row>
    <row r="81" spans="1:48" ht="39">
      <c r="A81" s="2">
        <v>53</v>
      </c>
      <c r="B81" s="2">
        <v>1000000000009500</v>
      </c>
      <c r="C81" s="3" t="s">
        <v>305</v>
      </c>
      <c r="D81" s="2"/>
      <c r="E81" s="2" t="s">
        <v>52</v>
      </c>
      <c r="F81" s="2" t="s">
        <v>53</v>
      </c>
      <c r="G81" s="2" t="s">
        <v>34</v>
      </c>
      <c r="H81" s="2"/>
      <c r="I81" s="3" t="s">
        <v>306</v>
      </c>
      <c r="J81" s="3"/>
      <c r="K81" s="2" t="s">
        <v>55</v>
      </c>
      <c r="L81" s="3" t="s">
        <v>307</v>
      </c>
      <c r="M81" s="4">
        <v>44344</v>
      </c>
      <c r="N81" s="2"/>
      <c r="O81" s="2"/>
      <c r="P81" s="5">
        <v>1962979000</v>
      </c>
      <c r="Q81" s="6">
        <v>3107529847</v>
      </c>
      <c r="R81" s="6">
        <v>5070508847</v>
      </c>
      <c r="S81" s="6">
        <v>434730230</v>
      </c>
      <c r="T81" s="6">
        <v>5505239077</v>
      </c>
      <c r="U81" s="7">
        <v>3086642430</v>
      </c>
      <c r="V81" s="7">
        <v>3362663347</v>
      </c>
      <c r="W81" s="8">
        <v>2142575730</v>
      </c>
      <c r="X81" s="8">
        <v>3141926137</v>
      </c>
      <c r="Y81" s="8">
        <v>3141926137</v>
      </c>
      <c r="Z81" s="9" t="s">
        <v>38</v>
      </c>
      <c r="AA81" s="9" t="s">
        <v>38</v>
      </c>
      <c r="AB81" s="8">
        <v>800000000</v>
      </c>
      <c r="AC81" s="8">
        <v>800000000</v>
      </c>
      <c r="AD81" s="9" t="s">
        <v>38</v>
      </c>
      <c r="AE81" s="9"/>
      <c r="AF81" s="2"/>
      <c r="AG81" s="2"/>
      <c r="AH81" s="2" t="s">
        <v>83</v>
      </c>
      <c r="AI81" s="2" t="s">
        <v>41</v>
      </c>
      <c r="AJ81" s="2"/>
      <c r="AK81" s="2" t="s">
        <v>98</v>
      </c>
      <c r="AL81" s="2"/>
      <c r="AM81" s="2"/>
      <c r="AN81" s="2"/>
      <c r="AO81" s="2"/>
      <c r="AP81" s="9"/>
      <c r="AQ81" s="10" t="s">
        <v>43</v>
      </c>
      <c r="AR81" s="9"/>
      <c r="AS81" s="9"/>
      <c r="AT81" s="50" t="s">
        <v>503</v>
      </c>
      <c r="AU81" s="35">
        <f t="shared" si="2"/>
        <v>1</v>
      </c>
      <c r="AV81" s="35">
        <f t="shared" si="3"/>
        <v>1900</v>
      </c>
    </row>
    <row r="82" spans="1:48" ht="39">
      <c r="A82" s="2">
        <v>54</v>
      </c>
      <c r="B82" s="2">
        <v>1000000000008460</v>
      </c>
      <c r="C82" s="3" t="s">
        <v>308</v>
      </c>
      <c r="D82" s="2"/>
      <c r="E82" s="2" t="s">
        <v>52</v>
      </c>
      <c r="F82" s="2" t="s">
        <v>53</v>
      </c>
      <c r="G82" s="2" t="s">
        <v>34</v>
      </c>
      <c r="H82" s="2"/>
      <c r="I82" s="3" t="s">
        <v>309</v>
      </c>
      <c r="J82" s="3"/>
      <c r="K82" s="2" t="s">
        <v>86</v>
      </c>
      <c r="L82" s="3" t="s">
        <v>68</v>
      </c>
      <c r="M82" s="4">
        <v>44229</v>
      </c>
      <c r="N82" s="2"/>
      <c r="O82" s="2"/>
      <c r="P82" s="5">
        <v>25289920666</v>
      </c>
      <c r="Q82" s="6">
        <v>3883505415</v>
      </c>
      <c r="R82" s="6">
        <v>29173426081</v>
      </c>
      <c r="S82" s="6">
        <v>2857342557</v>
      </c>
      <c r="T82" s="6">
        <v>32030768638</v>
      </c>
      <c r="U82" s="7">
        <v>30589611813</v>
      </c>
      <c r="V82" s="7">
        <v>33446954370</v>
      </c>
      <c r="W82" s="8">
        <v>-1416185732</v>
      </c>
      <c r="X82" s="8">
        <v>32030768638</v>
      </c>
      <c r="Y82" s="8">
        <v>19525247133</v>
      </c>
      <c r="Z82" s="9" t="s">
        <v>38</v>
      </c>
      <c r="AA82" s="8">
        <v>12505521505</v>
      </c>
      <c r="AB82" s="9" t="s">
        <v>38</v>
      </c>
      <c r="AC82" s="9" t="s">
        <v>38</v>
      </c>
      <c r="AD82" s="9" t="s">
        <v>38</v>
      </c>
      <c r="AE82" s="9"/>
      <c r="AF82" s="2"/>
      <c r="AG82" s="2"/>
      <c r="AH82" s="2" t="s">
        <v>40</v>
      </c>
      <c r="AI82" s="2" t="s">
        <v>88</v>
      </c>
      <c r="AJ82" s="2"/>
      <c r="AK82" s="2"/>
      <c r="AL82" s="2"/>
      <c r="AM82" s="2"/>
      <c r="AN82" s="2"/>
      <c r="AO82" s="2"/>
      <c r="AP82" s="9"/>
      <c r="AQ82" s="10" t="s">
        <v>43</v>
      </c>
      <c r="AR82" s="9"/>
      <c r="AS82" s="9"/>
      <c r="AT82" s="50" t="s">
        <v>503</v>
      </c>
      <c r="AU82" s="35">
        <f t="shared" si="2"/>
        <v>1</v>
      </c>
      <c r="AV82" s="35">
        <f t="shared" si="3"/>
        <v>1900</v>
      </c>
    </row>
    <row r="83" spans="1:48" ht="39">
      <c r="A83" s="2">
        <v>55</v>
      </c>
      <c r="B83" s="2">
        <v>1000000000008800</v>
      </c>
      <c r="C83" s="3" t="s">
        <v>310</v>
      </c>
      <c r="D83" s="2"/>
      <c r="E83" s="2" t="s">
        <v>52</v>
      </c>
      <c r="F83" s="2" t="s">
        <v>53</v>
      </c>
      <c r="G83" s="2" t="s">
        <v>34</v>
      </c>
      <c r="H83" s="2"/>
      <c r="I83" s="3" t="s">
        <v>311</v>
      </c>
      <c r="J83" s="3"/>
      <c r="K83" s="2" t="s">
        <v>55</v>
      </c>
      <c r="L83" s="3" t="s">
        <v>236</v>
      </c>
      <c r="M83" s="4">
        <v>44063</v>
      </c>
      <c r="N83" s="2"/>
      <c r="O83" s="2"/>
      <c r="P83" s="5">
        <v>479000000</v>
      </c>
      <c r="Q83" s="15"/>
      <c r="R83" s="6">
        <v>479000000</v>
      </c>
      <c r="S83" s="6">
        <v>47900000</v>
      </c>
      <c r="T83" s="6">
        <v>526900000</v>
      </c>
      <c r="U83" s="7">
        <v>502950000</v>
      </c>
      <c r="V83" s="7">
        <v>550850000</v>
      </c>
      <c r="W83" s="8">
        <v>-23950000</v>
      </c>
      <c r="X83" s="8">
        <v>526900000</v>
      </c>
      <c r="Y83" s="8">
        <v>502950000</v>
      </c>
      <c r="Z83" s="9" t="s">
        <v>38</v>
      </c>
      <c r="AA83" s="8">
        <v>23950000</v>
      </c>
      <c r="AB83" s="9" t="s">
        <v>38</v>
      </c>
      <c r="AC83" s="9" t="s">
        <v>38</v>
      </c>
      <c r="AD83" s="9" t="s">
        <v>38</v>
      </c>
      <c r="AE83" s="9"/>
      <c r="AF83" s="2"/>
      <c r="AG83" s="2"/>
      <c r="AH83" s="2" t="s">
        <v>40</v>
      </c>
      <c r="AI83" s="2" t="s">
        <v>88</v>
      </c>
      <c r="AJ83" s="2"/>
      <c r="AK83" s="2"/>
      <c r="AL83" s="2"/>
      <c r="AM83" s="2"/>
      <c r="AN83" s="2"/>
      <c r="AO83" s="2"/>
      <c r="AP83" s="9"/>
      <c r="AQ83" s="10" t="s">
        <v>43</v>
      </c>
      <c r="AR83" s="9"/>
      <c r="AS83" s="9"/>
      <c r="AT83" s="50" t="s">
        <v>503</v>
      </c>
      <c r="AU83" s="35">
        <f t="shared" si="2"/>
        <v>1</v>
      </c>
      <c r="AV83" s="35">
        <f t="shared" si="3"/>
        <v>1900</v>
      </c>
    </row>
    <row r="84" spans="1:48" ht="39">
      <c r="A84" s="2">
        <v>56</v>
      </c>
      <c r="B84" s="2">
        <v>1000000000009920</v>
      </c>
      <c r="C84" s="3" t="s">
        <v>312</v>
      </c>
      <c r="D84" s="2"/>
      <c r="E84" s="2" t="s">
        <v>52</v>
      </c>
      <c r="F84" s="2" t="s">
        <v>53</v>
      </c>
      <c r="G84" s="2" t="s">
        <v>34</v>
      </c>
      <c r="H84" s="2"/>
      <c r="I84" s="3" t="s">
        <v>313</v>
      </c>
      <c r="J84" s="3"/>
      <c r="K84" s="2" t="s">
        <v>55</v>
      </c>
      <c r="L84" s="3" t="s">
        <v>314</v>
      </c>
      <c r="M84" s="4">
        <v>44425</v>
      </c>
      <c r="N84" s="2"/>
      <c r="O84" s="2"/>
      <c r="P84" s="5">
        <v>36155781027</v>
      </c>
      <c r="Q84" s="6">
        <v>15917560774</v>
      </c>
      <c r="R84" s="6">
        <v>52073341801</v>
      </c>
      <c r="S84" s="6">
        <v>4227055764</v>
      </c>
      <c r="T84" s="6">
        <v>56300397565</v>
      </c>
      <c r="U84" s="7">
        <v>18187878580</v>
      </c>
      <c r="V84" s="7">
        <v>19704097286</v>
      </c>
      <c r="W84" s="8">
        <v>36596300279</v>
      </c>
      <c r="X84" s="8">
        <v>14247733712</v>
      </c>
      <c r="Y84" s="8">
        <v>14030568272</v>
      </c>
      <c r="Z84" s="9" t="s">
        <v>38</v>
      </c>
      <c r="AA84" s="8">
        <v>217165440</v>
      </c>
      <c r="AB84" s="9" t="s">
        <v>38</v>
      </c>
      <c r="AC84" s="9" t="s">
        <v>38</v>
      </c>
      <c r="AD84" s="9" t="s">
        <v>38</v>
      </c>
      <c r="AE84" s="9"/>
      <c r="AF84" s="2"/>
      <c r="AG84" s="2"/>
      <c r="AH84" s="2" t="s">
        <v>50</v>
      </c>
      <c r="AI84" s="2" t="s">
        <v>69</v>
      </c>
      <c r="AJ84" s="2"/>
      <c r="AK84" s="2" t="s">
        <v>275</v>
      </c>
      <c r="AL84" s="2" t="s">
        <v>42</v>
      </c>
      <c r="AM84" s="2"/>
      <c r="AN84" s="2"/>
      <c r="AO84" s="4">
        <v>46387</v>
      </c>
      <c r="AP84" s="9"/>
      <c r="AQ84" s="10" t="s">
        <v>43</v>
      </c>
      <c r="AR84" s="9"/>
      <c r="AS84" s="9"/>
      <c r="AT84" s="17" t="s">
        <v>502</v>
      </c>
      <c r="AU84" s="35">
        <f t="shared" si="2"/>
        <v>1</v>
      </c>
      <c r="AV84" s="35">
        <f t="shared" si="3"/>
        <v>2026</v>
      </c>
    </row>
    <row r="85" spans="1:48" ht="39">
      <c r="A85" s="2">
        <v>57</v>
      </c>
      <c r="B85" s="2">
        <v>1000000000008900</v>
      </c>
      <c r="C85" s="3" t="s">
        <v>315</v>
      </c>
      <c r="D85" s="2"/>
      <c r="E85" s="2" t="s">
        <v>52</v>
      </c>
      <c r="F85" s="2" t="s">
        <v>53</v>
      </c>
      <c r="G85" s="2" t="s">
        <v>34</v>
      </c>
      <c r="H85" s="2"/>
      <c r="I85" s="3" t="s">
        <v>316</v>
      </c>
      <c r="J85" s="3"/>
      <c r="K85" s="2" t="s">
        <v>86</v>
      </c>
      <c r="L85" s="3" t="s">
        <v>56</v>
      </c>
      <c r="M85" s="4">
        <v>44377</v>
      </c>
      <c r="N85" s="2"/>
      <c r="O85" s="2"/>
      <c r="P85" s="5">
        <v>6796402500</v>
      </c>
      <c r="Q85" s="6">
        <v>19646000</v>
      </c>
      <c r="R85" s="6">
        <v>6816048500</v>
      </c>
      <c r="S85" s="6">
        <v>681604850</v>
      </c>
      <c r="T85" s="6">
        <v>7497653350</v>
      </c>
      <c r="U85" s="7">
        <v>6816048500</v>
      </c>
      <c r="V85" s="7">
        <v>7497653350</v>
      </c>
      <c r="W85" s="9" t="s">
        <v>38</v>
      </c>
      <c r="X85" s="8">
        <v>7497653350</v>
      </c>
      <c r="Y85" s="8">
        <v>1292834572</v>
      </c>
      <c r="Z85" s="8">
        <v>6204818778</v>
      </c>
      <c r="AA85" s="9" t="s">
        <v>38</v>
      </c>
      <c r="AB85" s="8">
        <v>679640250</v>
      </c>
      <c r="AC85" s="8">
        <v>679640250</v>
      </c>
      <c r="AD85" s="9" t="s">
        <v>38</v>
      </c>
      <c r="AE85" s="9"/>
      <c r="AF85" s="2"/>
      <c r="AG85" s="2"/>
      <c r="AH85" s="2" t="s">
        <v>40</v>
      </c>
      <c r="AI85" s="2" t="s">
        <v>88</v>
      </c>
      <c r="AJ85" s="2"/>
      <c r="AK85" s="2"/>
      <c r="AL85" s="2"/>
      <c r="AM85" s="2"/>
      <c r="AN85" s="2"/>
      <c r="AO85" s="2"/>
      <c r="AP85" s="9"/>
      <c r="AQ85" s="10" t="s">
        <v>43</v>
      </c>
      <c r="AR85" s="9"/>
      <c r="AS85" s="9"/>
      <c r="AT85" s="50" t="s">
        <v>503</v>
      </c>
      <c r="AU85" s="35">
        <f t="shared" si="2"/>
        <v>1</v>
      </c>
      <c r="AV85" s="35">
        <f t="shared" si="3"/>
        <v>1900</v>
      </c>
    </row>
    <row r="86" spans="1:48" ht="39">
      <c r="A86" s="2">
        <v>58</v>
      </c>
      <c r="B86" s="2">
        <v>1000000000009950</v>
      </c>
      <c r="C86" s="3" t="s">
        <v>317</v>
      </c>
      <c r="D86" s="2"/>
      <c r="E86" s="2" t="s">
        <v>52</v>
      </c>
      <c r="F86" s="2" t="s">
        <v>53</v>
      </c>
      <c r="G86" s="2" t="s">
        <v>34</v>
      </c>
      <c r="H86" s="2"/>
      <c r="I86" s="3" t="s">
        <v>318</v>
      </c>
      <c r="J86" s="3"/>
      <c r="K86" s="2" t="s">
        <v>55</v>
      </c>
      <c r="L86" s="3" t="s">
        <v>176</v>
      </c>
      <c r="M86" s="4">
        <v>44582</v>
      </c>
      <c r="N86" s="2"/>
      <c r="O86" s="2"/>
      <c r="P86" s="5">
        <v>10835953527</v>
      </c>
      <c r="Q86" s="6">
        <v>342027584</v>
      </c>
      <c r="R86" s="6">
        <v>11177981111</v>
      </c>
      <c r="S86" s="6">
        <v>1117798111</v>
      </c>
      <c r="T86" s="6">
        <v>12295779222</v>
      </c>
      <c r="U86" s="7">
        <v>10182146792</v>
      </c>
      <c r="V86" s="7">
        <v>11200361471</v>
      </c>
      <c r="W86" s="8">
        <v>1095417751</v>
      </c>
      <c r="X86" s="8">
        <v>10182146792</v>
      </c>
      <c r="Y86" s="8">
        <v>7334868748</v>
      </c>
      <c r="Z86" s="9" t="s">
        <v>38</v>
      </c>
      <c r="AA86" s="8">
        <v>2847278044</v>
      </c>
      <c r="AB86" s="8">
        <v>3250786058</v>
      </c>
      <c r="AC86" s="8">
        <v>3250786058</v>
      </c>
      <c r="AD86" s="9" t="s">
        <v>38</v>
      </c>
      <c r="AE86" s="9"/>
      <c r="AF86" s="2"/>
      <c r="AG86" s="2"/>
      <c r="AH86" s="2" t="s">
        <v>83</v>
      </c>
      <c r="AI86" s="2" t="s">
        <v>41</v>
      </c>
      <c r="AJ86" s="2"/>
      <c r="AK86" s="2" t="s">
        <v>98</v>
      </c>
      <c r="AL86" s="2"/>
      <c r="AM86" s="2"/>
      <c r="AN86" s="2"/>
      <c r="AO86" s="2"/>
      <c r="AP86" s="9"/>
      <c r="AQ86" s="10" t="s">
        <v>43</v>
      </c>
      <c r="AR86" s="9"/>
      <c r="AS86" s="9"/>
      <c r="AT86" s="50" t="s">
        <v>503</v>
      </c>
      <c r="AU86" s="35">
        <f t="shared" si="2"/>
        <v>1</v>
      </c>
      <c r="AV86" s="35">
        <f t="shared" si="3"/>
        <v>1900</v>
      </c>
    </row>
    <row r="87" spans="1:48" ht="39">
      <c r="A87" s="2">
        <v>59</v>
      </c>
      <c r="B87" s="2">
        <v>1000000000010120</v>
      </c>
      <c r="C87" s="3" t="s">
        <v>319</v>
      </c>
      <c r="D87" s="2"/>
      <c r="E87" s="2" t="s">
        <v>52</v>
      </c>
      <c r="F87" s="2" t="s">
        <v>53</v>
      </c>
      <c r="G87" s="2" t="s">
        <v>34</v>
      </c>
      <c r="H87" s="2"/>
      <c r="I87" s="3" t="s">
        <v>320</v>
      </c>
      <c r="J87" s="3"/>
      <c r="K87" s="2" t="s">
        <v>55</v>
      </c>
      <c r="L87" s="3" t="s">
        <v>176</v>
      </c>
      <c r="M87" s="4">
        <v>44423</v>
      </c>
      <c r="N87" s="2"/>
      <c r="O87" s="2"/>
      <c r="P87" s="5">
        <v>31202956999</v>
      </c>
      <c r="Q87" s="6">
        <v>465021764</v>
      </c>
      <c r="R87" s="6">
        <v>31667978763</v>
      </c>
      <c r="S87" s="6">
        <v>3166797876</v>
      </c>
      <c r="T87" s="6">
        <v>34834776639</v>
      </c>
      <c r="U87" s="7">
        <v>9985763824</v>
      </c>
      <c r="V87" s="7">
        <v>10984340206</v>
      </c>
      <c r="W87" s="8">
        <v>23850436433</v>
      </c>
      <c r="X87" s="8">
        <v>11999157401</v>
      </c>
      <c r="Y87" s="8">
        <v>4754414374</v>
      </c>
      <c r="Z87" s="9" t="s">
        <v>38</v>
      </c>
      <c r="AA87" s="8">
        <v>7244743027</v>
      </c>
      <c r="AB87" s="8">
        <v>3120295700</v>
      </c>
      <c r="AC87" s="8">
        <v>1106902123</v>
      </c>
      <c r="AD87" s="8">
        <v>2013393577</v>
      </c>
      <c r="AE87" s="9"/>
      <c r="AF87" s="2"/>
      <c r="AG87" s="2"/>
      <c r="AH87" s="2" t="s">
        <v>83</v>
      </c>
      <c r="AI87" s="2" t="s">
        <v>41</v>
      </c>
      <c r="AJ87" s="2"/>
      <c r="AK87" s="2" t="s">
        <v>98</v>
      </c>
      <c r="AL87" s="2"/>
      <c r="AM87" s="2"/>
      <c r="AN87" s="2"/>
      <c r="AO87" s="2"/>
      <c r="AP87" s="9"/>
      <c r="AQ87" s="10" t="s">
        <v>43</v>
      </c>
      <c r="AR87" s="9"/>
      <c r="AS87" s="9"/>
      <c r="AT87" s="50" t="s">
        <v>503</v>
      </c>
      <c r="AU87" s="35">
        <f t="shared" si="2"/>
        <v>1</v>
      </c>
      <c r="AV87" s="35">
        <f t="shared" si="3"/>
        <v>1900</v>
      </c>
    </row>
    <row r="88" spans="1:48" ht="39">
      <c r="A88" s="2">
        <v>60</v>
      </c>
      <c r="B88" s="2">
        <v>1000000000010160</v>
      </c>
      <c r="C88" s="3" t="s">
        <v>321</v>
      </c>
      <c r="D88" s="2"/>
      <c r="E88" s="2" t="s">
        <v>52</v>
      </c>
      <c r="F88" s="2" t="s">
        <v>53</v>
      </c>
      <c r="G88" s="2" t="s">
        <v>34</v>
      </c>
      <c r="H88" s="2"/>
      <c r="I88" s="3" t="s">
        <v>322</v>
      </c>
      <c r="J88" s="3"/>
      <c r="K88" s="2" t="s">
        <v>55</v>
      </c>
      <c r="L88" s="3" t="s">
        <v>266</v>
      </c>
      <c r="M88" s="4">
        <v>44515</v>
      </c>
      <c r="N88" s="2"/>
      <c r="O88" s="2"/>
      <c r="P88" s="5">
        <v>28400000000</v>
      </c>
      <c r="Q88" s="6">
        <v>2975882129</v>
      </c>
      <c r="R88" s="6">
        <v>31375882129</v>
      </c>
      <c r="S88" s="6">
        <v>2510070571</v>
      </c>
      <c r="T88" s="6">
        <v>33885952700</v>
      </c>
      <c r="U88" s="7">
        <v>20284512179</v>
      </c>
      <c r="V88" s="7">
        <v>21907273153</v>
      </c>
      <c r="W88" s="8">
        <v>11978679547</v>
      </c>
      <c r="X88" s="8">
        <v>20893047544</v>
      </c>
      <c r="Y88" s="8">
        <v>19738311340</v>
      </c>
      <c r="Z88" s="9" t="s">
        <v>38</v>
      </c>
      <c r="AA88" s="8">
        <v>1154736204</v>
      </c>
      <c r="AB88" s="8">
        <v>2840000000</v>
      </c>
      <c r="AC88" s="8">
        <v>2840000000</v>
      </c>
      <c r="AD88" s="9" t="s">
        <v>38</v>
      </c>
      <c r="AE88" s="31">
        <v>44895</v>
      </c>
      <c r="AF88" s="2"/>
      <c r="AG88" s="2"/>
      <c r="AH88" s="2" t="s">
        <v>50</v>
      </c>
      <c r="AI88" s="2" t="s">
        <v>88</v>
      </c>
      <c r="AJ88" s="2"/>
      <c r="AK88" s="2" t="s">
        <v>323</v>
      </c>
      <c r="AL88" s="2"/>
      <c r="AM88" s="2"/>
      <c r="AN88" s="2"/>
      <c r="AO88" s="2"/>
      <c r="AP88" s="9"/>
      <c r="AQ88" s="10" t="s">
        <v>43</v>
      </c>
      <c r="AR88" s="9"/>
      <c r="AS88" s="9"/>
      <c r="AT88" s="50" t="s">
        <v>503</v>
      </c>
      <c r="AU88" s="35">
        <f t="shared" si="2"/>
        <v>1</v>
      </c>
      <c r="AV88" s="35">
        <f t="shared" si="3"/>
        <v>1900</v>
      </c>
    </row>
    <row r="89" spans="1:48" ht="39">
      <c r="A89" s="2">
        <v>61</v>
      </c>
      <c r="B89" s="2">
        <v>1000000000010240</v>
      </c>
      <c r="C89" s="3" t="s">
        <v>324</v>
      </c>
      <c r="D89" s="2"/>
      <c r="E89" s="2" t="s">
        <v>52</v>
      </c>
      <c r="F89" s="2" t="s">
        <v>53</v>
      </c>
      <c r="G89" s="2" t="s">
        <v>34</v>
      </c>
      <c r="H89" s="2"/>
      <c r="I89" s="3" t="s">
        <v>325</v>
      </c>
      <c r="J89" s="32"/>
      <c r="K89" s="2" t="s">
        <v>55</v>
      </c>
      <c r="L89" s="33" t="s">
        <v>112</v>
      </c>
      <c r="M89" s="37">
        <v>44557</v>
      </c>
      <c r="N89" s="38"/>
      <c r="O89" s="38"/>
      <c r="P89" s="5">
        <v>2640728000</v>
      </c>
      <c r="Q89" s="6">
        <v>315895590</v>
      </c>
      <c r="R89" s="6">
        <v>2956623590</v>
      </c>
      <c r="S89" s="6">
        <v>236529887</v>
      </c>
      <c r="T89" s="6">
        <v>3193153477</v>
      </c>
      <c r="U89" s="7">
        <v>2286889771</v>
      </c>
      <c r="V89" s="7">
        <v>2469840953</v>
      </c>
      <c r="W89" s="8">
        <v>723312524</v>
      </c>
      <c r="X89" s="8">
        <v>2350103818</v>
      </c>
      <c r="Y89" s="8">
        <v>2121414841</v>
      </c>
      <c r="Z89" s="9" t="s">
        <v>38</v>
      </c>
      <c r="AA89" s="8">
        <v>228688977</v>
      </c>
      <c r="AB89" s="8">
        <v>528145600</v>
      </c>
      <c r="AC89" s="8">
        <v>528145600</v>
      </c>
      <c r="AD89" s="9" t="s">
        <v>38</v>
      </c>
      <c r="AE89" s="9"/>
      <c r="AF89" s="2"/>
      <c r="AG89" s="2"/>
      <c r="AH89" s="2" t="s">
        <v>83</v>
      </c>
      <c r="AI89" s="2" t="s">
        <v>41</v>
      </c>
      <c r="AJ89" s="2"/>
      <c r="AK89" s="2" t="s">
        <v>98</v>
      </c>
      <c r="AL89" s="2"/>
      <c r="AM89" s="2"/>
      <c r="AN89" s="2"/>
      <c r="AO89" s="2"/>
      <c r="AP89" s="9"/>
      <c r="AQ89" s="10" t="s">
        <v>43</v>
      </c>
      <c r="AR89" s="9"/>
      <c r="AS89" s="9"/>
      <c r="AT89" s="50" t="s">
        <v>503</v>
      </c>
      <c r="AU89" s="35">
        <f t="shared" si="2"/>
        <v>1</v>
      </c>
      <c r="AV89" s="35">
        <f t="shared" si="3"/>
        <v>1900</v>
      </c>
    </row>
    <row r="90" spans="1:48" ht="39">
      <c r="A90" s="2">
        <v>62</v>
      </c>
      <c r="B90" s="2">
        <v>1000000000010270</v>
      </c>
      <c r="C90" s="3" t="s">
        <v>326</v>
      </c>
      <c r="D90" s="2"/>
      <c r="E90" s="2" t="s">
        <v>52</v>
      </c>
      <c r="F90" s="2" t="s">
        <v>53</v>
      </c>
      <c r="G90" s="2" t="s">
        <v>34</v>
      </c>
      <c r="H90" s="2"/>
      <c r="I90" s="3" t="s">
        <v>327</v>
      </c>
      <c r="J90" s="3"/>
      <c r="K90" s="2" t="s">
        <v>55</v>
      </c>
      <c r="L90" s="3" t="s">
        <v>328</v>
      </c>
      <c r="M90" s="4">
        <v>44496</v>
      </c>
      <c r="N90" s="2"/>
      <c r="O90" s="2"/>
      <c r="P90" s="5">
        <v>192385000</v>
      </c>
      <c r="Q90" s="6">
        <v>1724005452</v>
      </c>
      <c r="R90" s="6">
        <v>1916390452</v>
      </c>
      <c r="S90" s="6">
        <v>180606471</v>
      </c>
      <c r="T90" s="6">
        <v>2096996923</v>
      </c>
      <c r="U90" s="7">
        <v>1724005452</v>
      </c>
      <c r="V90" s="7">
        <v>1885373423</v>
      </c>
      <c r="W90" s="8">
        <v>211623500</v>
      </c>
      <c r="X90" s="8">
        <v>1874873423</v>
      </c>
      <c r="Y90" s="8">
        <v>1874873423</v>
      </c>
      <c r="Z90" s="9" t="s">
        <v>38</v>
      </c>
      <c r="AA90" s="9" t="s">
        <v>38</v>
      </c>
      <c r="AB90" s="9" t="s">
        <v>38</v>
      </c>
      <c r="AC90" s="9" t="s">
        <v>38</v>
      </c>
      <c r="AD90" s="9" t="s">
        <v>38</v>
      </c>
      <c r="AE90" s="9"/>
      <c r="AF90" s="2"/>
      <c r="AG90" s="2"/>
      <c r="AH90" s="2" t="s">
        <v>83</v>
      </c>
      <c r="AI90" s="2" t="s">
        <v>41</v>
      </c>
      <c r="AJ90" s="2"/>
      <c r="AK90" s="2" t="s">
        <v>98</v>
      </c>
      <c r="AL90" s="2"/>
      <c r="AM90" s="2"/>
      <c r="AN90" s="2"/>
      <c r="AO90" s="2"/>
      <c r="AP90" s="9"/>
      <c r="AQ90" s="10" t="s">
        <v>43</v>
      </c>
      <c r="AR90" s="9"/>
      <c r="AS90" s="9"/>
      <c r="AT90" s="50" t="s">
        <v>503</v>
      </c>
      <c r="AU90" s="35">
        <f t="shared" si="2"/>
        <v>1</v>
      </c>
      <c r="AV90" s="35">
        <f t="shared" si="3"/>
        <v>1900</v>
      </c>
    </row>
    <row r="91" spans="1:48" ht="39">
      <c r="A91" s="2">
        <v>63</v>
      </c>
      <c r="B91" s="2">
        <v>1000000000010420</v>
      </c>
      <c r="C91" s="3" t="s">
        <v>329</v>
      </c>
      <c r="D91" s="2"/>
      <c r="E91" s="2" t="s">
        <v>52</v>
      </c>
      <c r="F91" s="2" t="s">
        <v>53</v>
      </c>
      <c r="G91" s="2" t="s">
        <v>34</v>
      </c>
      <c r="H91" s="2"/>
      <c r="I91" s="3" t="s">
        <v>330</v>
      </c>
      <c r="J91" s="3"/>
      <c r="K91" s="2" t="s">
        <v>55</v>
      </c>
      <c r="L91" s="3" t="s">
        <v>158</v>
      </c>
      <c r="M91" s="4">
        <v>44551</v>
      </c>
      <c r="N91" s="2"/>
      <c r="O91" s="2"/>
      <c r="P91" s="5">
        <v>7602817152</v>
      </c>
      <c r="Q91" s="6">
        <v>1060649007</v>
      </c>
      <c r="R91" s="6">
        <v>8663466159</v>
      </c>
      <c r="S91" s="6">
        <v>866346616</v>
      </c>
      <c r="T91" s="6">
        <v>9529812775</v>
      </c>
      <c r="U91" s="7">
        <v>1137067182</v>
      </c>
      <c r="V91" s="7">
        <v>1250773900</v>
      </c>
      <c r="W91" s="8">
        <v>8279038875</v>
      </c>
      <c r="X91" s="8">
        <v>1776000362</v>
      </c>
      <c r="Y91" s="8">
        <v>1543729521</v>
      </c>
      <c r="Z91" s="9" t="s">
        <v>38</v>
      </c>
      <c r="AA91" s="8">
        <v>232270841</v>
      </c>
      <c r="AB91" s="8">
        <v>866346616</v>
      </c>
      <c r="AC91" s="8">
        <v>113706718</v>
      </c>
      <c r="AD91" s="8">
        <v>752639898</v>
      </c>
      <c r="AE91" s="9"/>
      <c r="AF91" s="2"/>
      <c r="AG91" s="2"/>
      <c r="AH91" s="2" t="s">
        <v>83</v>
      </c>
      <c r="AI91" s="2" t="s">
        <v>41</v>
      </c>
      <c r="AJ91" s="2"/>
      <c r="AK91" s="2" t="s">
        <v>98</v>
      </c>
      <c r="AL91" s="2"/>
      <c r="AM91" s="2"/>
      <c r="AN91" s="2"/>
      <c r="AO91" s="2"/>
      <c r="AP91" s="9"/>
      <c r="AQ91" s="10" t="s">
        <v>43</v>
      </c>
      <c r="AR91" s="9"/>
      <c r="AS91" s="9"/>
      <c r="AT91" s="50" t="s">
        <v>503</v>
      </c>
      <c r="AU91" s="35">
        <f t="shared" si="2"/>
        <v>1</v>
      </c>
      <c r="AV91" s="35">
        <f t="shared" si="3"/>
        <v>1900</v>
      </c>
    </row>
    <row r="92" spans="1:48" ht="39">
      <c r="A92" s="2">
        <v>64</v>
      </c>
      <c r="B92" s="2">
        <v>1000000000010560</v>
      </c>
      <c r="C92" s="3" t="s">
        <v>331</v>
      </c>
      <c r="D92" s="2"/>
      <c r="E92" s="2" t="s">
        <v>52</v>
      </c>
      <c r="F92" s="2" t="s">
        <v>53</v>
      </c>
      <c r="G92" s="2" t="s">
        <v>34</v>
      </c>
      <c r="H92" s="2"/>
      <c r="I92" s="3" t="s">
        <v>332</v>
      </c>
      <c r="J92" s="3"/>
      <c r="K92" s="2" t="s">
        <v>55</v>
      </c>
      <c r="L92" s="3" t="s">
        <v>247</v>
      </c>
      <c r="M92" s="4">
        <v>44561</v>
      </c>
      <c r="N92" s="2"/>
      <c r="O92" s="2"/>
      <c r="P92" s="5">
        <v>126079090909</v>
      </c>
      <c r="Q92" s="6">
        <v>44166773427</v>
      </c>
      <c r="R92" s="6">
        <v>170245864336</v>
      </c>
      <c r="S92" s="6">
        <v>13619669148</v>
      </c>
      <c r="T92" s="6">
        <v>183865533484</v>
      </c>
      <c r="U92" s="7">
        <v>96220672593</v>
      </c>
      <c r="V92" s="7">
        <v>103918326400</v>
      </c>
      <c r="W92" s="8">
        <v>79947207084</v>
      </c>
      <c r="X92" s="8">
        <v>99062292771</v>
      </c>
      <c r="Y92" s="8">
        <v>84624195788</v>
      </c>
      <c r="Z92" s="9" t="s">
        <v>38</v>
      </c>
      <c r="AA92" s="8">
        <v>14438096983</v>
      </c>
      <c r="AB92" s="8">
        <v>12607909091</v>
      </c>
      <c r="AC92" s="8">
        <v>12607909091</v>
      </c>
      <c r="AD92" s="9" t="s">
        <v>38</v>
      </c>
      <c r="AE92" s="9"/>
      <c r="AF92" s="2"/>
      <c r="AG92" s="2"/>
      <c r="AH92" s="2" t="s">
        <v>50</v>
      </c>
      <c r="AI92" s="2" t="s">
        <v>69</v>
      </c>
      <c r="AJ92" s="2"/>
      <c r="AK92" s="2" t="s">
        <v>275</v>
      </c>
      <c r="AL92" s="2" t="s">
        <v>42</v>
      </c>
      <c r="AM92" s="2"/>
      <c r="AN92" s="2"/>
      <c r="AO92" s="4">
        <v>46295</v>
      </c>
      <c r="AP92" s="9"/>
      <c r="AQ92" s="10" t="s">
        <v>43</v>
      </c>
      <c r="AR92" s="9"/>
      <c r="AS92" s="9"/>
      <c r="AT92" s="17" t="s">
        <v>502</v>
      </c>
      <c r="AU92" s="35">
        <f t="shared" si="2"/>
        <v>1</v>
      </c>
      <c r="AV92" s="35">
        <f t="shared" si="3"/>
        <v>2026</v>
      </c>
    </row>
    <row r="93" spans="1:48" ht="39">
      <c r="A93" s="2">
        <v>65</v>
      </c>
      <c r="B93" s="2">
        <v>1000000000010670</v>
      </c>
      <c r="C93" s="3" t="s">
        <v>333</v>
      </c>
      <c r="D93" s="2"/>
      <c r="E93" s="2" t="s">
        <v>52</v>
      </c>
      <c r="F93" s="2" t="s">
        <v>53</v>
      </c>
      <c r="G93" s="2" t="s">
        <v>34</v>
      </c>
      <c r="H93" s="2"/>
      <c r="I93" s="3" t="s">
        <v>334</v>
      </c>
      <c r="J93" s="3"/>
      <c r="K93" s="2" t="s">
        <v>55</v>
      </c>
      <c r="L93" s="3" t="s">
        <v>161</v>
      </c>
      <c r="M93" s="4">
        <v>44424</v>
      </c>
      <c r="N93" s="2"/>
      <c r="O93" s="2"/>
      <c r="P93" s="5">
        <v>20212910730</v>
      </c>
      <c r="Q93" s="6">
        <v>11900238251</v>
      </c>
      <c r="R93" s="6">
        <v>32113148981</v>
      </c>
      <c r="S93" s="6">
        <v>2903813056</v>
      </c>
      <c r="T93" s="6">
        <v>35016962037</v>
      </c>
      <c r="U93" s="7">
        <v>22273411894</v>
      </c>
      <c r="V93" s="7">
        <v>24390045983</v>
      </c>
      <c r="W93" s="8">
        <v>10626916054</v>
      </c>
      <c r="X93" s="8">
        <v>22750919220</v>
      </c>
      <c r="Y93" s="8">
        <v>17405920718</v>
      </c>
      <c r="Z93" s="9" t="s">
        <v>38</v>
      </c>
      <c r="AA93" s="8">
        <v>5344998502</v>
      </c>
      <c r="AB93" s="8">
        <v>2411108838</v>
      </c>
      <c r="AC93" s="8">
        <v>2411108838</v>
      </c>
      <c r="AD93" s="9" t="s">
        <v>38</v>
      </c>
      <c r="AE93" s="9"/>
      <c r="AF93" s="2"/>
      <c r="AG93" s="2"/>
      <c r="AH93" s="2" t="s">
        <v>83</v>
      </c>
      <c r="AI93" s="2" t="s">
        <v>41</v>
      </c>
      <c r="AJ93" s="2"/>
      <c r="AK93" s="2" t="s">
        <v>98</v>
      </c>
      <c r="AL93" s="2"/>
      <c r="AM93" s="2"/>
      <c r="AN93" s="2"/>
      <c r="AO93" s="2"/>
      <c r="AP93" s="9"/>
      <c r="AQ93" s="10" t="s">
        <v>43</v>
      </c>
      <c r="AR93" s="9"/>
      <c r="AS93" s="9"/>
      <c r="AT93" s="50" t="s">
        <v>503</v>
      </c>
      <c r="AU93" s="35">
        <f t="shared" si="2"/>
        <v>1</v>
      </c>
      <c r="AV93" s="35">
        <f t="shared" si="3"/>
        <v>1900</v>
      </c>
    </row>
    <row r="94" spans="1:48" ht="37.5">
      <c r="A94" s="34">
        <v>1</v>
      </c>
      <c r="B94" s="17">
        <v>1000000000006960</v>
      </c>
      <c r="C94" s="18" t="s">
        <v>335</v>
      </c>
      <c r="D94" s="17"/>
      <c r="E94" s="17" t="s">
        <v>336</v>
      </c>
      <c r="F94" s="17" t="s">
        <v>337</v>
      </c>
      <c r="G94" s="17" t="s">
        <v>338</v>
      </c>
      <c r="H94" s="17"/>
      <c r="I94" s="18" t="s">
        <v>339</v>
      </c>
      <c r="J94" s="18"/>
      <c r="K94" s="17" t="s">
        <v>340</v>
      </c>
      <c r="L94" s="18" t="s">
        <v>220</v>
      </c>
      <c r="M94" s="17"/>
      <c r="N94" s="17"/>
      <c r="O94" s="20">
        <v>6915079670</v>
      </c>
      <c r="P94" s="20">
        <v>3880485399</v>
      </c>
      <c r="Q94" s="21">
        <v>10795565069</v>
      </c>
      <c r="R94" s="20">
        <v>1079556507</v>
      </c>
      <c r="S94" s="21">
        <v>11875121576</v>
      </c>
      <c r="T94" s="21">
        <v>10795565069</v>
      </c>
      <c r="U94" s="20">
        <v>11875121576</v>
      </c>
      <c r="V94" s="22" t="s">
        <v>38</v>
      </c>
      <c r="W94" s="21">
        <v>11875121576</v>
      </c>
      <c r="X94" s="21">
        <v>10652839787</v>
      </c>
      <c r="Y94" s="22" t="s">
        <v>38</v>
      </c>
      <c r="Z94" s="21">
        <v>1222281789</v>
      </c>
      <c r="AA94" s="21">
        <v>691507967</v>
      </c>
      <c r="AB94" s="21">
        <v>691507967</v>
      </c>
      <c r="AC94" s="22" t="s">
        <v>38</v>
      </c>
      <c r="AD94" s="22"/>
      <c r="AE94" s="17" t="s">
        <v>341</v>
      </c>
      <c r="AF94" s="17" t="s">
        <v>342</v>
      </c>
      <c r="AG94" s="17" t="s">
        <v>40</v>
      </c>
      <c r="AH94" s="17" t="s">
        <v>88</v>
      </c>
      <c r="AI94" s="17"/>
      <c r="AJ94" s="17"/>
      <c r="AK94" s="17"/>
      <c r="AL94" s="17"/>
      <c r="AM94" s="17"/>
      <c r="AN94" s="17"/>
      <c r="AO94" s="22"/>
      <c r="AP94" s="17" t="s">
        <v>125</v>
      </c>
      <c r="AQ94" s="17"/>
      <c r="AR94" s="17" t="s">
        <v>88</v>
      </c>
      <c r="AS94" s="17"/>
      <c r="AT94" s="50" t="s">
        <v>503</v>
      </c>
      <c r="AU94" s="35">
        <f t="shared" si="2"/>
        <v>1</v>
      </c>
      <c r="AV94" s="35">
        <f t="shared" si="3"/>
        <v>1900</v>
      </c>
    </row>
    <row r="95" spans="1:48" ht="37.5">
      <c r="A95" s="34">
        <v>2</v>
      </c>
      <c r="B95" s="17">
        <v>1000000000007110</v>
      </c>
      <c r="C95" s="18" t="s">
        <v>343</v>
      </c>
      <c r="D95" s="17"/>
      <c r="E95" s="17" t="s">
        <v>336</v>
      </c>
      <c r="F95" s="17" t="s">
        <v>337</v>
      </c>
      <c r="G95" s="17" t="s">
        <v>338</v>
      </c>
      <c r="H95" s="17"/>
      <c r="I95" s="18" t="s">
        <v>344</v>
      </c>
      <c r="J95" s="18"/>
      <c r="K95" s="17" t="s">
        <v>340</v>
      </c>
      <c r="L95" s="18" t="s">
        <v>274</v>
      </c>
      <c r="M95" s="17"/>
      <c r="N95" s="17"/>
      <c r="O95" s="20">
        <v>16502915524</v>
      </c>
      <c r="P95" s="20">
        <v>-2066864595</v>
      </c>
      <c r="Q95" s="21">
        <v>14436050929</v>
      </c>
      <c r="R95" s="20">
        <v>1443605093</v>
      </c>
      <c r="S95" s="21">
        <v>15879656022</v>
      </c>
      <c r="T95" s="21">
        <v>14436050929</v>
      </c>
      <c r="U95" s="20">
        <v>15879656022</v>
      </c>
      <c r="V95" s="22" t="s">
        <v>38</v>
      </c>
      <c r="W95" s="21">
        <v>15879656022</v>
      </c>
      <c r="X95" s="21">
        <v>15879656022</v>
      </c>
      <c r="Y95" s="22" t="s">
        <v>38</v>
      </c>
      <c r="Z95" s="22" t="s">
        <v>38</v>
      </c>
      <c r="AA95" s="21">
        <v>1650291552</v>
      </c>
      <c r="AB95" s="21">
        <v>1650291552</v>
      </c>
      <c r="AC95" s="22" t="s">
        <v>38</v>
      </c>
      <c r="AD95" s="22"/>
      <c r="AE95" s="17" t="s">
        <v>341</v>
      </c>
      <c r="AF95" s="17" t="s">
        <v>342</v>
      </c>
      <c r="AG95" s="17" t="s">
        <v>40</v>
      </c>
      <c r="AH95" s="17" t="s">
        <v>88</v>
      </c>
      <c r="AI95" s="17"/>
      <c r="AJ95" s="17"/>
      <c r="AK95" s="17"/>
      <c r="AL95" s="17"/>
      <c r="AM95" s="17"/>
      <c r="AN95" s="17"/>
      <c r="AO95" s="22"/>
      <c r="AP95" s="17" t="s">
        <v>125</v>
      </c>
      <c r="AQ95" s="17"/>
      <c r="AR95" s="17" t="s">
        <v>88</v>
      </c>
      <c r="AS95" s="17"/>
      <c r="AT95" s="50" t="s">
        <v>503</v>
      </c>
      <c r="AU95" s="35">
        <f t="shared" si="2"/>
        <v>1</v>
      </c>
      <c r="AV95" s="35">
        <f t="shared" si="3"/>
        <v>1900</v>
      </c>
    </row>
    <row r="96" spans="1:48" ht="37.5">
      <c r="A96" s="34">
        <v>3</v>
      </c>
      <c r="B96" s="17">
        <v>1000000000007340</v>
      </c>
      <c r="C96" s="18" t="s">
        <v>345</v>
      </c>
      <c r="D96" s="17"/>
      <c r="E96" s="17" t="s">
        <v>336</v>
      </c>
      <c r="F96" s="17" t="s">
        <v>337</v>
      </c>
      <c r="G96" s="17" t="s">
        <v>338</v>
      </c>
      <c r="H96" s="17"/>
      <c r="I96" s="18" t="s">
        <v>346</v>
      </c>
      <c r="J96" s="18"/>
      <c r="K96" s="17" t="s">
        <v>340</v>
      </c>
      <c r="L96" s="18" t="s">
        <v>68</v>
      </c>
      <c r="M96" s="17"/>
      <c r="N96" s="17"/>
      <c r="O96" s="20">
        <v>111086887364</v>
      </c>
      <c r="P96" s="20">
        <v>48538567452</v>
      </c>
      <c r="Q96" s="21">
        <v>159625454816</v>
      </c>
      <c r="R96" s="20">
        <v>15275278815</v>
      </c>
      <c r="S96" s="21">
        <v>174900733631</v>
      </c>
      <c r="T96" s="21">
        <v>159625454816</v>
      </c>
      <c r="U96" s="20">
        <v>174900733631</v>
      </c>
      <c r="V96" s="22" t="s">
        <v>38</v>
      </c>
      <c r="W96" s="21">
        <v>174174556953</v>
      </c>
      <c r="X96" s="21">
        <v>166919460890</v>
      </c>
      <c r="Y96" s="22" t="s">
        <v>38</v>
      </c>
      <c r="Z96" s="21">
        <v>7255096063</v>
      </c>
      <c r="AA96" s="22" t="s">
        <v>38</v>
      </c>
      <c r="AB96" s="22" t="s">
        <v>38</v>
      </c>
      <c r="AC96" s="22" t="s">
        <v>38</v>
      </c>
      <c r="AD96" s="22"/>
      <c r="AE96" s="17" t="s">
        <v>341</v>
      </c>
      <c r="AF96" s="17" t="s">
        <v>342</v>
      </c>
      <c r="AG96" s="17" t="s">
        <v>40</v>
      </c>
      <c r="AH96" s="17" t="s">
        <v>88</v>
      </c>
      <c r="AI96" s="17"/>
      <c r="AJ96" s="17"/>
      <c r="AK96" s="17"/>
      <c r="AL96" s="17"/>
      <c r="AM96" s="17"/>
      <c r="AN96" s="17"/>
      <c r="AO96" s="22"/>
      <c r="AP96" s="17" t="s">
        <v>125</v>
      </c>
      <c r="AQ96" s="17"/>
      <c r="AR96" s="17" t="s">
        <v>88</v>
      </c>
      <c r="AS96" s="17"/>
      <c r="AT96" s="50" t="s">
        <v>503</v>
      </c>
      <c r="AU96" s="35">
        <f t="shared" si="2"/>
        <v>1</v>
      </c>
      <c r="AV96" s="35">
        <f t="shared" si="3"/>
        <v>1900</v>
      </c>
    </row>
    <row r="97" spans="1:48" ht="37.5">
      <c r="A97" s="34">
        <v>4</v>
      </c>
      <c r="B97" s="17">
        <v>1000000000007340</v>
      </c>
      <c r="C97" s="18" t="s">
        <v>347</v>
      </c>
      <c r="D97" s="17"/>
      <c r="E97" s="17" t="s">
        <v>336</v>
      </c>
      <c r="F97" s="17" t="s">
        <v>337</v>
      </c>
      <c r="G97" s="17" t="s">
        <v>338</v>
      </c>
      <c r="H97" s="17"/>
      <c r="I97" s="18" t="s">
        <v>348</v>
      </c>
      <c r="J97" s="18"/>
      <c r="K97" s="17" t="s">
        <v>340</v>
      </c>
      <c r="L97" s="18" t="s">
        <v>68</v>
      </c>
      <c r="M97" s="17"/>
      <c r="N97" s="17"/>
      <c r="O97" s="20">
        <v>32852826652</v>
      </c>
      <c r="P97" s="20">
        <v>-8129886914</v>
      </c>
      <c r="Q97" s="21">
        <v>24722939738</v>
      </c>
      <c r="R97" s="20">
        <v>2472293974</v>
      </c>
      <c r="S97" s="21">
        <v>27195233712</v>
      </c>
      <c r="T97" s="21">
        <v>24722939738</v>
      </c>
      <c r="U97" s="20">
        <v>27195233712</v>
      </c>
      <c r="V97" s="22" t="s">
        <v>38</v>
      </c>
      <c r="W97" s="21">
        <v>25959086725</v>
      </c>
      <c r="X97" s="21">
        <v>24784543615</v>
      </c>
      <c r="Y97" s="22" t="s">
        <v>38</v>
      </c>
      <c r="Z97" s="21">
        <v>1174543110</v>
      </c>
      <c r="AA97" s="22" t="s">
        <v>38</v>
      </c>
      <c r="AB97" s="22" t="s">
        <v>38</v>
      </c>
      <c r="AC97" s="22" t="s">
        <v>38</v>
      </c>
      <c r="AD97" s="22"/>
      <c r="AE97" s="17" t="s">
        <v>341</v>
      </c>
      <c r="AF97" s="17" t="s">
        <v>342</v>
      </c>
      <c r="AG97" s="17" t="s">
        <v>40</v>
      </c>
      <c r="AH97" s="17" t="s">
        <v>88</v>
      </c>
      <c r="AI97" s="17"/>
      <c r="AJ97" s="17"/>
      <c r="AK97" s="17"/>
      <c r="AL97" s="17"/>
      <c r="AM97" s="17"/>
      <c r="AN97" s="17"/>
      <c r="AO97" s="22"/>
      <c r="AP97" s="17" t="s">
        <v>125</v>
      </c>
      <c r="AQ97" s="17"/>
      <c r="AR97" s="17" t="s">
        <v>88</v>
      </c>
      <c r="AS97" s="17"/>
      <c r="AT97" s="50" t="s">
        <v>503</v>
      </c>
      <c r="AU97" s="35">
        <f t="shared" si="2"/>
        <v>1</v>
      </c>
      <c r="AV97" s="35">
        <f t="shared" si="3"/>
        <v>1900</v>
      </c>
    </row>
    <row r="98" spans="1:48" ht="37.5">
      <c r="A98" s="34">
        <v>5</v>
      </c>
      <c r="B98" s="17">
        <v>1000000000007340</v>
      </c>
      <c r="C98" s="18" t="s">
        <v>349</v>
      </c>
      <c r="D98" s="17"/>
      <c r="E98" s="17" t="s">
        <v>336</v>
      </c>
      <c r="F98" s="17" t="s">
        <v>337</v>
      </c>
      <c r="G98" s="17" t="s">
        <v>338</v>
      </c>
      <c r="H98" s="17"/>
      <c r="I98" s="18" t="s">
        <v>350</v>
      </c>
      <c r="J98" s="18"/>
      <c r="K98" s="17" t="s">
        <v>340</v>
      </c>
      <c r="L98" s="18" t="s">
        <v>68</v>
      </c>
      <c r="M98" s="17"/>
      <c r="N98" s="17"/>
      <c r="O98" s="20">
        <v>23226767131</v>
      </c>
      <c r="P98" s="20">
        <v>-9293655511</v>
      </c>
      <c r="Q98" s="21">
        <v>13933111620</v>
      </c>
      <c r="R98" s="20">
        <v>1393311162</v>
      </c>
      <c r="S98" s="21">
        <v>15326422782</v>
      </c>
      <c r="T98" s="21">
        <v>13933111620</v>
      </c>
      <c r="U98" s="20">
        <v>15326422782</v>
      </c>
      <c r="V98" s="22" t="s">
        <v>38</v>
      </c>
      <c r="W98" s="21">
        <v>21943216839</v>
      </c>
      <c r="X98" s="21">
        <v>21943216839</v>
      </c>
      <c r="Y98" s="22" t="s">
        <v>38</v>
      </c>
      <c r="Z98" s="22" t="s">
        <v>38</v>
      </c>
      <c r="AA98" s="22" t="s">
        <v>38</v>
      </c>
      <c r="AB98" s="22" t="s">
        <v>38</v>
      </c>
      <c r="AC98" s="22" t="s">
        <v>38</v>
      </c>
      <c r="AD98" s="22"/>
      <c r="AE98" s="17" t="s">
        <v>341</v>
      </c>
      <c r="AF98" s="17" t="s">
        <v>342</v>
      </c>
      <c r="AG98" s="17" t="s">
        <v>40</v>
      </c>
      <c r="AH98" s="17" t="s">
        <v>88</v>
      </c>
      <c r="AI98" s="17"/>
      <c r="AJ98" s="17"/>
      <c r="AK98" s="17"/>
      <c r="AL98" s="17"/>
      <c r="AM98" s="17"/>
      <c r="AN98" s="17"/>
      <c r="AO98" s="22"/>
      <c r="AP98" s="17" t="s">
        <v>125</v>
      </c>
      <c r="AQ98" s="17"/>
      <c r="AR98" s="17" t="s">
        <v>88</v>
      </c>
      <c r="AS98" s="17"/>
      <c r="AT98" s="50" t="s">
        <v>503</v>
      </c>
      <c r="AU98" s="35">
        <f t="shared" si="2"/>
        <v>1</v>
      </c>
      <c r="AV98" s="35">
        <f t="shared" si="3"/>
        <v>1900</v>
      </c>
    </row>
    <row r="99" spans="1:48" ht="37.5">
      <c r="A99" s="34">
        <v>6</v>
      </c>
      <c r="B99" s="17">
        <v>1000000000007350</v>
      </c>
      <c r="C99" s="18" t="s">
        <v>351</v>
      </c>
      <c r="D99" s="17"/>
      <c r="E99" s="17" t="s">
        <v>336</v>
      </c>
      <c r="F99" s="17" t="s">
        <v>337</v>
      </c>
      <c r="G99" s="17" t="s">
        <v>338</v>
      </c>
      <c r="H99" s="17"/>
      <c r="I99" s="18" t="s">
        <v>352</v>
      </c>
      <c r="J99" s="18"/>
      <c r="K99" s="17" t="s">
        <v>340</v>
      </c>
      <c r="L99" s="18" t="s">
        <v>68</v>
      </c>
      <c r="M99" s="17"/>
      <c r="N99" s="17"/>
      <c r="O99" s="20">
        <v>77162850814</v>
      </c>
      <c r="P99" s="20">
        <v>-2802020307</v>
      </c>
      <c r="Q99" s="21">
        <v>74360830507</v>
      </c>
      <c r="R99" s="20">
        <v>7436083051</v>
      </c>
      <c r="S99" s="21">
        <v>81796913558</v>
      </c>
      <c r="T99" s="21">
        <v>78261225283</v>
      </c>
      <c r="U99" s="20">
        <v>86087347811</v>
      </c>
      <c r="V99" s="21">
        <v>-4290434253</v>
      </c>
      <c r="W99" s="21">
        <v>78476170599</v>
      </c>
      <c r="X99" s="21">
        <v>78476170599</v>
      </c>
      <c r="Y99" s="22" t="s">
        <v>38</v>
      </c>
      <c r="Z99" s="22" t="s">
        <v>38</v>
      </c>
      <c r="AA99" s="22" t="s">
        <v>38</v>
      </c>
      <c r="AB99" s="22" t="s">
        <v>38</v>
      </c>
      <c r="AC99" s="22" t="s">
        <v>38</v>
      </c>
      <c r="AD99" s="22"/>
      <c r="AE99" s="17" t="s">
        <v>341</v>
      </c>
      <c r="AF99" s="17" t="s">
        <v>342</v>
      </c>
      <c r="AG99" s="17" t="s">
        <v>40</v>
      </c>
      <c r="AH99" s="17" t="s">
        <v>88</v>
      </c>
      <c r="AI99" s="17"/>
      <c r="AJ99" s="17"/>
      <c r="AK99" s="17"/>
      <c r="AL99" s="17"/>
      <c r="AM99" s="17"/>
      <c r="AN99" s="17"/>
      <c r="AO99" s="22"/>
      <c r="AP99" s="17" t="s">
        <v>125</v>
      </c>
      <c r="AQ99" s="17"/>
      <c r="AR99" s="17" t="s">
        <v>88</v>
      </c>
      <c r="AS99" s="17"/>
      <c r="AT99" s="50" t="s">
        <v>503</v>
      </c>
      <c r="AU99" s="35">
        <f t="shared" si="2"/>
        <v>1</v>
      </c>
      <c r="AV99" s="35">
        <f t="shared" si="3"/>
        <v>1900</v>
      </c>
    </row>
    <row r="100" spans="1:48" ht="37.5">
      <c r="A100" s="34">
        <v>7</v>
      </c>
      <c r="B100" s="17">
        <v>1000000000007350</v>
      </c>
      <c r="C100" s="18" t="s">
        <v>353</v>
      </c>
      <c r="D100" s="17"/>
      <c r="E100" s="17" t="s">
        <v>336</v>
      </c>
      <c r="F100" s="17" t="s">
        <v>337</v>
      </c>
      <c r="G100" s="17" t="s">
        <v>338</v>
      </c>
      <c r="H100" s="17"/>
      <c r="I100" s="18" t="s">
        <v>354</v>
      </c>
      <c r="J100" s="18"/>
      <c r="K100" s="17" t="s">
        <v>340</v>
      </c>
      <c r="L100" s="18" t="s">
        <v>355</v>
      </c>
      <c r="M100" s="17"/>
      <c r="N100" s="17"/>
      <c r="O100" s="20">
        <v>17252932000</v>
      </c>
      <c r="P100" s="20">
        <v>1288484669</v>
      </c>
      <c r="Q100" s="21">
        <v>18541416669</v>
      </c>
      <c r="R100" s="20">
        <v>1854141667</v>
      </c>
      <c r="S100" s="21">
        <v>20395558336</v>
      </c>
      <c r="T100" s="21">
        <v>18541416669</v>
      </c>
      <c r="U100" s="20">
        <v>20395558336</v>
      </c>
      <c r="V100" s="22" t="s">
        <v>38</v>
      </c>
      <c r="W100" s="21">
        <v>20395558336</v>
      </c>
      <c r="X100" s="21">
        <v>15277445739</v>
      </c>
      <c r="Y100" s="22" t="s">
        <v>38</v>
      </c>
      <c r="Z100" s="21">
        <v>5118112597</v>
      </c>
      <c r="AA100" s="21">
        <v>1725293200</v>
      </c>
      <c r="AB100" s="21">
        <v>1725293200</v>
      </c>
      <c r="AC100" s="22" t="s">
        <v>38</v>
      </c>
      <c r="AD100" s="22"/>
      <c r="AE100" s="17" t="s">
        <v>341</v>
      </c>
      <c r="AF100" s="17" t="s">
        <v>342</v>
      </c>
      <c r="AG100" s="17" t="s">
        <v>40</v>
      </c>
      <c r="AH100" s="17" t="s">
        <v>88</v>
      </c>
      <c r="AI100" s="17"/>
      <c r="AJ100" s="17"/>
      <c r="AK100" s="17"/>
      <c r="AL100" s="17"/>
      <c r="AM100" s="17"/>
      <c r="AN100" s="17"/>
      <c r="AO100" s="22"/>
      <c r="AP100" s="17" t="s">
        <v>125</v>
      </c>
      <c r="AQ100" s="17"/>
      <c r="AR100" s="17" t="s">
        <v>88</v>
      </c>
      <c r="AS100" s="17"/>
      <c r="AT100" s="50" t="s">
        <v>503</v>
      </c>
      <c r="AU100" s="35">
        <f t="shared" si="2"/>
        <v>1</v>
      </c>
      <c r="AV100" s="35">
        <f t="shared" si="3"/>
        <v>1900</v>
      </c>
    </row>
    <row r="101" spans="1:48" ht="37.5">
      <c r="A101" s="34">
        <v>8</v>
      </c>
      <c r="B101" s="17">
        <v>1000000000007350</v>
      </c>
      <c r="C101" s="18" t="s">
        <v>356</v>
      </c>
      <c r="D101" s="17"/>
      <c r="E101" s="17" t="s">
        <v>336</v>
      </c>
      <c r="F101" s="17" t="s">
        <v>337</v>
      </c>
      <c r="G101" s="17" t="s">
        <v>338</v>
      </c>
      <c r="H101" s="17"/>
      <c r="I101" s="18" t="s">
        <v>357</v>
      </c>
      <c r="J101" s="18"/>
      <c r="K101" s="17" t="s">
        <v>340</v>
      </c>
      <c r="L101" s="18" t="s">
        <v>358</v>
      </c>
      <c r="M101" s="17"/>
      <c r="N101" s="17"/>
      <c r="O101" s="20">
        <v>7223108000</v>
      </c>
      <c r="P101" s="23" t="s">
        <v>38</v>
      </c>
      <c r="Q101" s="21">
        <v>7223108000</v>
      </c>
      <c r="R101" s="20">
        <v>722310800</v>
      </c>
      <c r="S101" s="21">
        <v>7945418800</v>
      </c>
      <c r="T101" s="22" t="s">
        <v>38</v>
      </c>
      <c r="U101" s="23" t="s">
        <v>38</v>
      </c>
      <c r="V101" s="21">
        <v>7945418800</v>
      </c>
      <c r="W101" s="22" t="s">
        <v>38</v>
      </c>
      <c r="X101" s="22" t="s">
        <v>38</v>
      </c>
      <c r="Y101" s="22" t="s">
        <v>38</v>
      </c>
      <c r="Z101" s="22" t="s">
        <v>38</v>
      </c>
      <c r="AA101" s="22" t="s">
        <v>38</v>
      </c>
      <c r="AB101" s="22" t="s">
        <v>38</v>
      </c>
      <c r="AC101" s="22" t="s">
        <v>38</v>
      </c>
      <c r="AD101" s="22"/>
      <c r="AE101" s="17" t="s">
        <v>341</v>
      </c>
      <c r="AF101" s="17" t="s">
        <v>342</v>
      </c>
      <c r="AG101" s="17" t="s">
        <v>40</v>
      </c>
      <c r="AH101" s="17" t="s">
        <v>58</v>
      </c>
      <c r="AI101" s="17"/>
      <c r="AJ101" s="17" t="s">
        <v>359</v>
      </c>
      <c r="AK101" s="17"/>
      <c r="AL101" s="17"/>
      <c r="AM101" s="17"/>
      <c r="AN101" s="17"/>
      <c r="AO101" s="22"/>
      <c r="AP101" s="17" t="s">
        <v>125</v>
      </c>
      <c r="AQ101" s="17" t="s">
        <v>132</v>
      </c>
      <c r="AR101" s="17" t="s">
        <v>140</v>
      </c>
      <c r="AS101" s="17"/>
      <c r="AT101" s="50" t="s">
        <v>503</v>
      </c>
      <c r="AU101" s="35">
        <f t="shared" si="2"/>
        <v>1</v>
      </c>
      <c r="AV101" s="35">
        <f t="shared" si="3"/>
        <v>1900</v>
      </c>
    </row>
    <row r="102" spans="1:48" ht="37.5">
      <c r="A102" s="34">
        <v>9</v>
      </c>
      <c r="B102" s="17">
        <v>1000000000007350</v>
      </c>
      <c r="C102" s="18" t="s">
        <v>360</v>
      </c>
      <c r="D102" s="17"/>
      <c r="E102" s="17" t="s">
        <v>336</v>
      </c>
      <c r="F102" s="17" t="s">
        <v>337</v>
      </c>
      <c r="G102" s="17" t="s">
        <v>338</v>
      </c>
      <c r="H102" s="17"/>
      <c r="I102" s="18" t="s">
        <v>361</v>
      </c>
      <c r="J102" s="18"/>
      <c r="K102" s="17" t="s">
        <v>340</v>
      </c>
      <c r="L102" s="18" t="s">
        <v>68</v>
      </c>
      <c r="M102" s="17"/>
      <c r="N102" s="17"/>
      <c r="O102" s="20">
        <v>33159511000</v>
      </c>
      <c r="P102" s="20">
        <v>7977952259</v>
      </c>
      <c r="Q102" s="21">
        <v>41137463259</v>
      </c>
      <c r="R102" s="20">
        <v>4113746326</v>
      </c>
      <c r="S102" s="21">
        <v>45251209585</v>
      </c>
      <c r="T102" s="21">
        <v>41137463259</v>
      </c>
      <c r="U102" s="20">
        <v>45251209585</v>
      </c>
      <c r="V102" s="22" t="s">
        <v>38</v>
      </c>
      <c r="W102" s="21">
        <v>43254245349</v>
      </c>
      <c r="X102" s="21">
        <v>25086083378</v>
      </c>
      <c r="Y102" s="22" t="s">
        <v>38</v>
      </c>
      <c r="Z102" s="21">
        <v>18168161971</v>
      </c>
      <c r="AA102" s="22" t="s">
        <v>38</v>
      </c>
      <c r="AB102" s="22" t="s">
        <v>38</v>
      </c>
      <c r="AC102" s="22" t="s">
        <v>38</v>
      </c>
      <c r="AD102" s="22"/>
      <c r="AE102" s="17" t="s">
        <v>341</v>
      </c>
      <c r="AF102" s="17" t="s">
        <v>342</v>
      </c>
      <c r="AG102" s="17" t="s">
        <v>40</v>
      </c>
      <c r="AH102" s="17" t="s">
        <v>88</v>
      </c>
      <c r="AI102" s="17"/>
      <c r="AJ102" s="17"/>
      <c r="AK102" s="17"/>
      <c r="AL102" s="17"/>
      <c r="AM102" s="17"/>
      <c r="AN102" s="17"/>
      <c r="AO102" s="22"/>
      <c r="AP102" s="17" t="s">
        <v>125</v>
      </c>
      <c r="AQ102" s="17"/>
      <c r="AR102" s="17" t="s">
        <v>88</v>
      </c>
      <c r="AS102" s="17"/>
      <c r="AT102" s="50" t="s">
        <v>503</v>
      </c>
      <c r="AU102" s="35">
        <f t="shared" si="2"/>
        <v>1</v>
      </c>
      <c r="AV102" s="35">
        <f t="shared" si="3"/>
        <v>1900</v>
      </c>
    </row>
    <row r="103" spans="1:48" ht="37.5">
      <c r="A103" s="34">
        <v>10</v>
      </c>
      <c r="B103" s="17">
        <v>1000000000007350</v>
      </c>
      <c r="C103" s="18" t="s">
        <v>362</v>
      </c>
      <c r="D103" s="17"/>
      <c r="E103" s="17" t="s">
        <v>336</v>
      </c>
      <c r="F103" s="17" t="s">
        <v>337</v>
      </c>
      <c r="G103" s="17" t="s">
        <v>338</v>
      </c>
      <c r="H103" s="17"/>
      <c r="I103" s="18" t="s">
        <v>363</v>
      </c>
      <c r="J103" s="18"/>
      <c r="K103" s="17" t="s">
        <v>340</v>
      </c>
      <c r="L103" s="18" t="s">
        <v>68</v>
      </c>
      <c r="M103" s="17"/>
      <c r="N103" s="17"/>
      <c r="O103" s="20">
        <v>32677267591</v>
      </c>
      <c r="P103" s="23" t="s">
        <v>38</v>
      </c>
      <c r="Q103" s="21">
        <v>32677267591</v>
      </c>
      <c r="R103" s="20">
        <v>3267726759</v>
      </c>
      <c r="S103" s="21">
        <v>35944994350</v>
      </c>
      <c r="T103" s="21">
        <v>11526060261</v>
      </c>
      <c r="U103" s="20">
        <v>12678666287</v>
      </c>
      <c r="V103" s="21">
        <v>23266328063</v>
      </c>
      <c r="W103" s="21">
        <v>9220848209</v>
      </c>
      <c r="X103" s="21">
        <v>9220848209</v>
      </c>
      <c r="Y103" s="22" t="s">
        <v>38</v>
      </c>
      <c r="Z103" s="22" t="s">
        <v>38</v>
      </c>
      <c r="AA103" s="22" t="s">
        <v>38</v>
      </c>
      <c r="AB103" s="22" t="s">
        <v>38</v>
      </c>
      <c r="AC103" s="22" t="s">
        <v>38</v>
      </c>
      <c r="AD103" s="22"/>
      <c r="AE103" s="17" t="s">
        <v>341</v>
      </c>
      <c r="AF103" s="17" t="s">
        <v>342</v>
      </c>
      <c r="AG103" s="17" t="s">
        <v>40</v>
      </c>
      <c r="AH103" s="17" t="s">
        <v>58</v>
      </c>
      <c r="AI103" s="17"/>
      <c r="AJ103" s="17" t="s">
        <v>359</v>
      </c>
      <c r="AK103" s="17" t="s">
        <v>364</v>
      </c>
      <c r="AL103" s="17"/>
      <c r="AM103" s="17"/>
      <c r="AN103" s="19">
        <v>46387</v>
      </c>
      <c r="AO103" s="22"/>
      <c r="AP103" s="17" t="s">
        <v>125</v>
      </c>
      <c r="AQ103" s="17" t="s">
        <v>144</v>
      </c>
      <c r="AR103" s="17" t="s">
        <v>140</v>
      </c>
      <c r="AS103" s="17"/>
      <c r="AT103" s="50" t="s">
        <v>503</v>
      </c>
      <c r="AU103" s="35">
        <f t="shared" si="2"/>
        <v>1</v>
      </c>
      <c r="AV103" s="35">
        <f t="shared" si="3"/>
        <v>1900</v>
      </c>
    </row>
    <row r="104" spans="1:48" ht="37.5">
      <c r="A104" s="34">
        <v>11</v>
      </c>
      <c r="B104" s="17">
        <v>1000000000007360</v>
      </c>
      <c r="C104" s="18" t="s">
        <v>365</v>
      </c>
      <c r="D104" s="17"/>
      <c r="E104" s="17" t="s">
        <v>336</v>
      </c>
      <c r="F104" s="17" t="s">
        <v>337</v>
      </c>
      <c r="G104" s="17" t="s">
        <v>338</v>
      </c>
      <c r="H104" s="17"/>
      <c r="I104" s="18" t="s">
        <v>366</v>
      </c>
      <c r="J104" s="18"/>
      <c r="K104" s="17" t="s">
        <v>340</v>
      </c>
      <c r="L104" s="18" t="s">
        <v>161</v>
      </c>
      <c r="M104" s="17"/>
      <c r="N104" s="17"/>
      <c r="O104" s="20">
        <v>2801813000</v>
      </c>
      <c r="P104" s="20">
        <v>11016719415</v>
      </c>
      <c r="Q104" s="21">
        <v>13818532415</v>
      </c>
      <c r="R104" s="20">
        <v>1231447827</v>
      </c>
      <c r="S104" s="21">
        <v>15049980242</v>
      </c>
      <c r="T104" s="21">
        <v>13331146263</v>
      </c>
      <c r="U104" s="20">
        <v>14518049074</v>
      </c>
      <c r="V104" s="21">
        <v>531931168</v>
      </c>
      <c r="W104" s="21">
        <v>13850985046</v>
      </c>
      <c r="X104" s="21">
        <v>13017870420</v>
      </c>
      <c r="Y104" s="22" t="s">
        <v>38</v>
      </c>
      <c r="Z104" s="21">
        <v>833114626</v>
      </c>
      <c r="AA104" s="21">
        <v>2717793200</v>
      </c>
      <c r="AB104" s="21">
        <v>2717793200</v>
      </c>
      <c r="AC104" s="22" t="s">
        <v>38</v>
      </c>
      <c r="AD104" s="22"/>
      <c r="AE104" s="17" t="s">
        <v>341</v>
      </c>
      <c r="AF104" s="17" t="s">
        <v>342</v>
      </c>
      <c r="AG104" s="17" t="s">
        <v>40</v>
      </c>
      <c r="AH104" s="17" t="s">
        <v>58</v>
      </c>
      <c r="AI104" s="17"/>
      <c r="AJ104" s="17" t="s">
        <v>359</v>
      </c>
      <c r="AK104" s="17"/>
      <c r="AL104" s="17"/>
      <c r="AM104" s="17"/>
      <c r="AN104" s="19">
        <v>46476</v>
      </c>
      <c r="AO104" s="22"/>
      <c r="AP104" s="17" t="s">
        <v>125</v>
      </c>
      <c r="AQ104" s="17" t="s">
        <v>132</v>
      </c>
      <c r="AR104" s="17" t="s">
        <v>140</v>
      </c>
      <c r="AS104" s="17"/>
      <c r="AT104" s="50" t="s">
        <v>503</v>
      </c>
      <c r="AU104" s="35">
        <f t="shared" si="2"/>
        <v>1</v>
      </c>
      <c r="AV104" s="35">
        <f t="shared" si="3"/>
        <v>1900</v>
      </c>
    </row>
    <row r="105" spans="1:48" ht="37.5">
      <c r="A105" s="34">
        <v>12</v>
      </c>
      <c r="B105" s="17">
        <v>1000000000007360</v>
      </c>
      <c r="C105" s="18" t="s">
        <v>367</v>
      </c>
      <c r="D105" s="17"/>
      <c r="E105" s="17" t="s">
        <v>336</v>
      </c>
      <c r="F105" s="17" t="s">
        <v>337</v>
      </c>
      <c r="G105" s="17" t="s">
        <v>338</v>
      </c>
      <c r="H105" s="17"/>
      <c r="I105" s="18" t="s">
        <v>368</v>
      </c>
      <c r="J105" s="18"/>
      <c r="K105" s="17" t="s">
        <v>340</v>
      </c>
      <c r="L105" s="18" t="s">
        <v>68</v>
      </c>
      <c r="M105" s="17"/>
      <c r="N105" s="17"/>
      <c r="O105" s="20">
        <v>88091798632</v>
      </c>
      <c r="P105" s="20">
        <v>73500723766</v>
      </c>
      <c r="Q105" s="21">
        <v>161592522398</v>
      </c>
      <c r="R105" s="20">
        <v>14215139953</v>
      </c>
      <c r="S105" s="21">
        <v>175807662351</v>
      </c>
      <c r="T105" s="21">
        <v>154251000033</v>
      </c>
      <c r="U105" s="20">
        <v>167878818195</v>
      </c>
      <c r="V105" s="21">
        <v>7928844156</v>
      </c>
      <c r="W105" s="21">
        <v>160051517918</v>
      </c>
      <c r="X105" s="21">
        <v>160051517918</v>
      </c>
      <c r="Y105" s="22" t="s">
        <v>38</v>
      </c>
      <c r="Z105" s="22" t="s">
        <v>38</v>
      </c>
      <c r="AA105" s="21">
        <v>17618359726</v>
      </c>
      <c r="AB105" s="21">
        <v>17618359726</v>
      </c>
      <c r="AC105" s="22" t="s">
        <v>38</v>
      </c>
      <c r="AD105" s="22"/>
      <c r="AE105" s="17" t="s">
        <v>341</v>
      </c>
      <c r="AF105" s="17" t="s">
        <v>342</v>
      </c>
      <c r="AG105" s="17" t="s">
        <v>40</v>
      </c>
      <c r="AH105" s="17" t="s">
        <v>58</v>
      </c>
      <c r="AI105" s="17"/>
      <c r="AJ105" s="17" t="s">
        <v>369</v>
      </c>
      <c r="AK105" s="17" t="s">
        <v>370</v>
      </c>
      <c r="AL105" s="17"/>
      <c r="AM105" s="17"/>
      <c r="AN105" s="17"/>
      <c r="AO105" s="22"/>
      <c r="AP105" s="17" t="s">
        <v>125</v>
      </c>
      <c r="AQ105" s="17" t="s">
        <v>144</v>
      </c>
      <c r="AR105" s="17" t="s">
        <v>140</v>
      </c>
      <c r="AS105" s="17"/>
      <c r="AT105" s="50" t="s">
        <v>503</v>
      </c>
      <c r="AU105" s="35">
        <f t="shared" si="2"/>
        <v>1</v>
      </c>
      <c r="AV105" s="35">
        <f t="shared" si="3"/>
        <v>1900</v>
      </c>
    </row>
    <row r="106" spans="1:48" ht="37.5">
      <c r="A106" s="34">
        <v>13</v>
      </c>
      <c r="B106" s="17">
        <v>1000000000008750</v>
      </c>
      <c r="C106" s="18" t="s">
        <v>371</v>
      </c>
      <c r="D106" s="17"/>
      <c r="E106" s="17" t="s">
        <v>336</v>
      </c>
      <c r="F106" s="17" t="s">
        <v>337</v>
      </c>
      <c r="G106" s="17" t="s">
        <v>338</v>
      </c>
      <c r="H106" s="17"/>
      <c r="I106" s="18" t="s">
        <v>372</v>
      </c>
      <c r="J106" s="18"/>
      <c r="K106" s="17" t="s">
        <v>340</v>
      </c>
      <c r="L106" s="18" t="s">
        <v>373</v>
      </c>
      <c r="M106" s="17"/>
      <c r="N106" s="17"/>
      <c r="O106" s="20">
        <v>4565786393</v>
      </c>
      <c r="P106" s="20">
        <v>1644662186</v>
      </c>
      <c r="Q106" s="21">
        <v>6210448579</v>
      </c>
      <c r="R106" s="20">
        <v>621044858</v>
      </c>
      <c r="S106" s="21">
        <v>6831493437</v>
      </c>
      <c r="T106" s="21">
        <v>6210448579</v>
      </c>
      <c r="U106" s="20">
        <v>6831493437</v>
      </c>
      <c r="V106" s="22" t="s">
        <v>38</v>
      </c>
      <c r="W106" s="21">
        <v>6831493437</v>
      </c>
      <c r="X106" s="21">
        <v>6536963320</v>
      </c>
      <c r="Y106" s="22" t="s">
        <v>38</v>
      </c>
      <c r="Z106" s="21">
        <v>294530117</v>
      </c>
      <c r="AA106" s="21">
        <v>2083429131</v>
      </c>
      <c r="AB106" s="21">
        <v>2083429131</v>
      </c>
      <c r="AC106" s="22" t="s">
        <v>38</v>
      </c>
      <c r="AD106" s="22"/>
      <c r="AE106" s="17" t="s">
        <v>341</v>
      </c>
      <c r="AF106" s="17" t="s">
        <v>342</v>
      </c>
      <c r="AG106" s="17" t="s">
        <v>40</v>
      </c>
      <c r="AH106" s="17" t="s">
        <v>88</v>
      </c>
      <c r="AI106" s="17"/>
      <c r="AJ106" s="17"/>
      <c r="AK106" s="17"/>
      <c r="AL106" s="17"/>
      <c r="AM106" s="17"/>
      <c r="AN106" s="17"/>
      <c r="AO106" s="22"/>
      <c r="AP106" s="17" t="s">
        <v>125</v>
      </c>
      <c r="AQ106" s="17"/>
      <c r="AR106" s="17" t="s">
        <v>88</v>
      </c>
      <c r="AS106" s="17"/>
      <c r="AT106" s="50" t="s">
        <v>503</v>
      </c>
      <c r="AU106" s="35">
        <f t="shared" si="2"/>
        <v>1</v>
      </c>
      <c r="AV106" s="35">
        <f t="shared" si="3"/>
        <v>1900</v>
      </c>
    </row>
    <row r="107" spans="1:48" ht="37.5">
      <c r="A107" s="34">
        <v>14</v>
      </c>
      <c r="B107" s="17">
        <v>1000000000008750</v>
      </c>
      <c r="C107" s="18" t="s">
        <v>374</v>
      </c>
      <c r="D107" s="17"/>
      <c r="E107" s="17" t="s">
        <v>336</v>
      </c>
      <c r="F107" s="17" t="s">
        <v>337</v>
      </c>
      <c r="G107" s="17" t="s">
        <v>338</v>
      </c>
      <c r="H107" s="17"/>
      <c r="I107" s="18" t="s">
        <v>375</v>
      </c>
      <c r="J107" s="18"/>
      <c r="K107" s="17" t="s">
        <v>340</v>
      </c>
      <c r="L107" s="18" t="s">
        <v>376</v>
      </c>
      <c r="M107" s="17"/>
      <c r="N107" s="17"/>
      <c r="O107" s="20">
        <v>561790119</v>
      </c>
      <c r="P107" s="20">
        <v>633542348</v>
      </c>
      <c r="Q107" s="21">
        <v>1195332467</v>
      </c>
      <c r="R107" s="20">
        <v>119533247</v>
      </c>
      <c r="S107" s="21">
        <v>1314865714</v>
      </c>
      <c r="T107" s="21">
        <v>1195332467</v>
      </c>
      <c r="U107" s="20">
        <v>1314865714</v>
      </c>
      <c r="V107" s="22" t="s">
        <v>38</v>
      </c>
      <c r="W107" s="21">
        <v>1314865714</v>
      </c>
      <c r="X107" s="21">
        <v>1314865714</v>
      </c>
      <c r="Y107" s="22" t="s">
        <v>38</v>
      </c>
      <c r="Z107" s="22" t="s">
        <v>38</v>
      </c>
      <c r="AA107" s="22" t="s">
        <v>38</v>
      </c>
      <c r="AB107" s="22" t="s">
        <v>38</v>
      </c>
      <c r="AC107" s="22" t="s">
        <v>38</v>
      </c>
      <c r="AD107" s="22"/>
      <c r="AE107" s="17" t="s">
        <v>341</v>
      </c>
      <c r="AF107" s="17" t="s">
        <v>342</v>
      </c>
      <c r="AG107" s="17" t="s">
        <v>40</v>
      </c>
      <c r="AH107" s="17" t="s">
        <v>88</v>
      </c>
      <c r="AI107" s="17"/>
      <c r="AJ107" s="17"/>
      <c r="AK107" s="17"/>
      <c r="AL107" s="17"/>
      <c r="AM107" s="17"/>
      <c r="AN107" s="17"/>
      <c r="AO107" s="22"/>
      <c r="AP107" s="17" t="s">
        <v>125</v>
      </c>
      <c r="AQ107" s="17"/>
      <c r="AR107" s="17" t="s">
        <v>88</v>
      </c>
      <c r="AS107" s="17"/>
      <c r="AT107" s="50" t="s">
        <v>503</v>
      </c>
      <c r="AU107" s="35">
        <f t="shared" si="2"/>
        <v>1</v>
      </c>
      <c r="AV107" s="35">
        <f t="shared" si="3"/>
        <v>1900</v>
      </c>
    </row>
    <row r="108" spans="1:48" ht="37.5">
      <c r="A108" s="34">
        <v>15</v>
      </c>
      <c r="B108" s="17">
        <v>1000000000008770</v>
      </c>
      <c r="C108" s="18" t="s">
        <v>377</v>
      </c>
      <c r="D108" s="17"/>
      <c r="E108" s="17" t="s">
        <v>336</v>
      </c>
      <c r="F108" s="17" t="s">
        <v>337</v>
      </c>
      <c r="G108" s="17" t="s">
        <v>338</v>
      </c>
      <c r="H108" s="17"/>
      <c r="I108" s="18" t="s">
        <v>378</v>
      </c>
      <c r="J108" s="18"/>
      <c r="K108" s="17" t="s">
        <v>340</v>
      </c>
      <c r="L108" s="18" t="s">
        <v>68</v>
      </c>
      <c r="M108" s="17"/>
      <c r="N108" s="17"/>
      <c r="O108" s="20">
        <v>58176880192</v>
      </c>
      <c r="P108" s="20">
        <v>20234071113</v>
      </c>
      <c r="Q108" s="21">
        <v>78410951305</v>
      </c>
      <c r="R108" s="20">
        <v>7478426534</v>
      </c>
      <c r="S108" s="21">
        <v>85889377839</v>
      </c>
      <c r="T108" s="21">
        <v>72055661934</v>
      </c>
      <c r="U108" s="20">
        <v>79025665318</v>
      </c>
      <c r="V108" s="21">
        <v>6863712521</v>
      </c>
      <c r="W108" s="21">
        <v>59440447899</v>
      </c>
      <c r="X108" s="21">
        <v>59440447899</v>
      </c>
      <c r="Y108" s="22" t="s">
        <v>38</v>
      </c>
      <c r="Z108" s="22" t="s">
        <v>38</v>
      </c>
      <c r="AA108" s="21">
        <v>11635376038</v>
      </c>
      <c r="AB108" s="21">
        <v>9564894877</v>
      </c>
      <c r="AC108" s="21">
        <v>2070481161</v>
      </c>
      <c r="AD108" s="22"/>
      <c r="AE108" s="17" t="s">
        <v>341</v>
      </c>
      <c r="AF108" s="17" t="s">
        <v>342</v>
      </c>
      <c r="AG108" s="17" t="s">
        <v>40</v>
      </c>
      <c r="AH108" s="17" t="s">
        <v>58</v>
      </c>
      <c r="AI108" s="17"/>
      <c r="AJ108" s="17" t="s">
        <v>369</v>
      </c>
      <c r="AK108" s="17" t="s">
        <v>370</v>
      </c>
      <c r="AL108" s="17"/>
      <c r="AM108" s="17"/>
      <c r="AN108" s="17"/>
      <c r="AO108" s="22"/>
      <c r="AP108" s="17" t="s">
        <v>125</v>
      </c>
      <c r="AQ108" s="17" t="s">
        <v>144</v>
      </c>
      <c r="AR108" s="17" t="s">
        <v>140</v>
      </c>
      <c r="AS108" s="17"/>
      <c r="AT108" s="50" t="s">
        <v>503</v>
      </c>
      <c r="AU108" s="35">
        <f t="shared" si="2"/>
        <v>1</v>
      </c>
      <c r="AV108" s="35">
        <f t="shared" si="3"/>
        <v>1900</v>
      </c>
    </row>
    <row r="109" spans="1:48" ht="37.5">
      <c r="A109" s="34">
        <v>16</v>
      </c>
      <c r="B109" s="17">
        <v>1000000000008770</v>
      </c>
      <c r="C109" s="18" t="s">
        <v>379</v>
      </c>
      <c r="D109" s="17"/>
      <c r="E109" s="17" t="s">
        <v>336</v>
      </c>
      <c r="F109" s="17" t="s">
        <v>337</v>
      </c>
      <c r="G109" s="17" t="s">
        <v>338</v>
      </c>
      <c r="H109" s="17"/>
      <c r="I109" s="18" t="s">
        <v>380</v>
      </c>
      <c r="J109" s="18"/>
      <c r="K109" s="17" t="s">
        <v>340</v>
      </c>
      <c r="L109" s="18" t="s">
        <v>381</v>
      </c>
      <c r="M109" s="17"/>
      <c r="N109" s="17"/>
      <c r="O109" s="20">
        <v>42392951918</v>
      </c>
      <c r="P109" s="20">
        <v>15106429032</v>
      </c>
      <c r="Q109" s="21">
        <v>57499380950</v>
      </c>
      <c r="R109" s="20">
        <v>5749938095</v>
      </c>
      <c r="S109" s="21">
        <v>63249319045</v>
      </c>
      <c r="T109" s="21">
        <v>57499380950</v>
      </c>
      <c r="U109" s="20">
        <v>63249319045</v>
      </c>
      <c r="V109" s="22" t="s">
        <v>38</v>
      </c>
      <c r="W109" s="21">
        <v>63249319045</v>
      </c>
      <c r="X109" s="21">
        <v>62208234920</v>
      </c>
      <c r="Y109" s="22" t="s">
        <v>38</v>
      </c>
      <c r="Z109" s="21">
        <v>1041084125</v>
      </c>
      <c r="AA109" s="22" t="s">
        <v>38</v>
      </c>
      <c r="AB109" s="22" t="s">
        <v>38</v>
      </c>
      <c r="AC109" s="22" t="s">
        <v>38</v>
      </c>
      <c r="AD109" s="22"/>
      <c r="AE109" s="17" t="s">
        <v>341</v>
      </c>
      <c r="AF109" s="17" t="s">
        <v>342</v>
      </c>
      <c r="AG109" s="17" t="s">
        <v>40</v>
      </c>
      <c r="AH109" s="17" t="s">
        <v>88</v>
      </c>
      <c r="AI109" s="17"/>
      <c r="AJ109" s="17"/>
      <c r="AK109" s="17"/>
      <c r="AL109" s="17"/>
      <c r="AM109" s="17"/>
      <c r="AN109" s="17"/>
      <c r="AO109" s="22"/>
      <c r="AP109" s="17" t="s">
        <v>125</v>
      </c>
      <c r="AQ109" s="17" t="s">
        <v>144</v>
      </c>
      <c r="AR109" s="17" t="s">
        <v>88</v>
      </c>
      <c r="AS109" s="17"/>
      <c r="AT109" s="50" t="s">
        <v>503</v>
      </c>
      <c r="AU109" s="35">
        <f t="shared" si="2"/>
        <v>1</v>
      </c>
      <c r="AV109" s="35">
        <f t="shared" si="3"/>
        <v>1900</v>
      </c>
    </row>
    <row r="110" spans="1:48" ht="37.5">
      <c r="A110" s="34">
        <v>17</v>
      </c>
      <c r="B110" s="17">
        <v>1000000000008770</v>
      </c>
      <c r="C110" s="18" t="s">
        <v>382</v>
      </c>
      <c r="D110" s="17"/>
      <c r="E110" s="17" t="s">
        <v>336</v>
      </c>
      <c r="F110" s="17" t="s">
        <v>337</v>
      </c>
      <c r="G110" s="17" t="s">
        <v>338</v>
      </c>
      <c r="H110" s="17"/>
      <c r="I110" s="18" t="s">
        <v>383</v>
      </c>
      <c r="J110" s="18"/>
      <c r="K110" s="17" t="s">
        <v>340</v>
      </c>
      <c r="L110" s="18" t="s">
        <v>73</v>
      </c>
      <c r="M110" s="17"/>
      <c r="N110" s="17"/>
      <c r="O110" s="20">
        <v>46745840519</v>
      </c>
      <c r="P110" s="20">
        <v>9847081338</v>
      </c>
      <c r="Q110" s="21">
        <v>56592921857</v>
      </c>
      <c r="R110" s="20">
        <v>5659292186</v>
      </c>
      <c r="S110" s="21">
        <v>62252214043</v>
      </c>
      <c r="T110" s="21">
        <v>56592921857</v>
      </c>
      <c r="U110" s="20">
        <v>62252214043</v>
      </c>
      <c r="V110" s="22" t="s">
        <v>38</v>
      </c>
      <c r="W110" s="21">
        <v>59422567950</v>
      </c>
      <c r="X110" s="21">
        <v>59422567950</v>
      </c>
      <c r="Y110" s="22" t="s">
        <v>38</v>
      </c>
      <c r="Z110" s="22" t="s">
        <v>38</v>
      </c>
      <c r="AA110" s="21">
        <v>4674584052</v>
      </c>
      <c r="AB110" s="21">
        <v>4674584052</v>
      </c>
      <c r="AC110" s="22" t="s">
        <v>38</v>
      </c>
      <c r="AD110" s="22"/>
      <c r="AE110" s="17" t="s">
        <v>341</v>
      </c>
      <c r="AF110" s="17" t="s">
        <v>342</v>
      </c>
      <c r="AG110" s="17" t="s">
        <v>40</v>
      </c>
      <c r="AH110" s="17" t="s">
        <v>88</v>
      </c>
      <c r="AI110" s="17"/>
      <c r="AJ110" s="17"/>
      <c r="AK110" s="17"/>
      <c r="AL110" s="17"/>
      <c r="AM110" s="17"/>
      <c r="AN110" s="17"/>
      <c r="AO110" s="22"/>
      <c r="AP110" s="17" t="s">
        <v>125</v>
      </c>
      <c r="AQ110" s="17"/>
      <c r="AR110" s="17" t="s">
        <v>88</v>
      </c>
      <c r="AS110" s="17"/>
      <c r="AT110" s="50" t="s">
        <v>503</v>
      </c>
      <c r="AU110" s="35">
        <f t="shared" si="2"/>
        <v>1</v>
      </c>
      <c r="AV110" s="35">
        <f t="shared" si="3"/>
        <v>1900</v>
      </c>
    </row>
    <row r="111" spans="1:48" ht="37.5">
      <c r="A111" s="34">
        <v>18</v>
      </c>
      <c r="B111" s="17">
        <v>1000000000008770</v>
      </c>
      <c r="C111" s="18" t="s">
        <v>384</v>
      </c>
      <c r="D111" s="17"/>
      <c r="E111" s="17" t="s">
        <v>336</v>
      </c>
      <c r="F111" s="17" t="s">
        <v>337</v>
      </c>
      <c r="G111" s="17" t="s">
        <v>338</v>
      </c>
      <c r="H111" s="17"/>
      <c r="I111" s="18" t="s">
        <v>385</v>
      </c>
      <c r="J111" s="18"/>
      <c r="K111" s="17" t="s">
        <v>340</v>
      </c>
      <c r="L111" s="18" t="s">
        <v>109</v>
      </c>
      <c r="M111" s="17"/>
      <c r="N111" s="17"/>
      <c r="O111" s="20">
        <v>42810919477</v>
      </c>
      <c r="P111" s="20">
        <v>10304621326</v>
      </c>
      <c r="Q111" s="21">
        <v>53115540803</v>
      </c>
      <c r="R111" s="20">
        <v>5311554080</v>
      </c>
      <c r="S111" s="21">
        <v>58427094883</v>
      </c>
      <c r="T111" s="21">
        <v>53115540803</v>
      </c>
      <c r="U111" s="20">
        <v>58427094883</v>
      </c>
      <c r="V111" s="22" t="s">
        <v>38</v>
      </c>
      <c r="W111" s="21">
        <v>55771317843</v>
      </c>
      <c r="X111" s="21">
        <v>45754686328</v>
      </c>
      <c r="Y111" s="22" t="s">
        <v>38</v>
      </c>
      <c r="Z111" s="21">
        <v>10016631515</v>
      </c>
      <c r="AA111" s="22" t="s">
        <v>38</v>
      </c>
      <c r="AB111" s="22" t="s">
        <v>38</v>
      </c>
      <c r="AC111" s="22" t="s">
        <v>38</v>
      </c>
      <c r="AD111" s="22"/>
      <c r="AE111" s="17" t="s">
        <v>341</v>
      </c>
      <c r="AF111" s="17" t="s">
        <v>342</v>
      </c>
      <c r="AG111" s="17" t="s">
        <v>40</v>
      </c>
      <c r="AH111" s="17" t="s">
        <v>88</v>
      </c>
      <c r="AI111" s="17"/>
      <c r="AJ111" s="17"/>
      <c r="AK111" s="17" t="s">
        <v>386</v>
      </c>
      <c r="AL111" s="17"/>
      <c r="AM111" s="17"/>
      <c r="AN111" s="17"/>
      <c r="AO111" s="22"/>
      <c r="AP111" s="17" t="s">
        <v>125</v>
      </c>
      <c r="AQ111" s="17" t="s">
        <v>144</v>
      </c>
      <c r="AR111" s="17" t="s">
        <v>88</v>
      </c>
      <c r="AS111" s="17"/>
      <c r="AT111" s="50" t="s">
        <v>503</v>
      </c>
      <c r="AU111" s="35">
        <f t="shared" si="2"/>
        <v>1</v>
      </c>
      <c r="AV111" s="35">
        <f t="shared" si="3"/>
        <v>1900</v>
      </c>
    </row>
    <row r="112" spans="1:48" ht="37.5">
      <c r="A112" s="34">
        <v>19</v>
      </c>
      <c r="B112" s="17">
        <v>1000000000008780</v>
      </c>
      <c r="C112" s="18" t="s">
        <v>387</v>
      </c>
      <c r="D112" s="17"/>
      <c r="E112" s="17" t="s">
        <v>336</v>
      </c>
      <c r="F112" s="17" t="s">
        <v>337</v>
      </c>
      <c r="G112" s="17" t="s">
        <v>338</v>
      </c>
      <c r="H112" s="17"/>
      <c r="I112" s="18" t="s">
        <v>388</v>
      </c>
      <c r="J112" s="18"/>
      <c r="K112" s="17" t="s">
        <v>340</v>
      </c>
      <c r="L112" s="18" t="s">
        <v>274</v>
      </c>
      <c r="M112" s="17"/>
      <c r="N112" s="17"/>
      <c r="O112" s="20">
        <v>21917139070</v>
      </c>
      <c r="P112" s="20">
        <v>2284599590</v>
      </c>
      <c r="Q112" s="21">
        <v>24201738660</v>
      </c>
      <c r="R112" s="20">
        <v>2420173866</v>
      </c>
      <c r="S112" s="21">
        <v>26621912526</v>
      </c>
      <c r="T112" s="21">
        <v>24201738660</v>
      </c>
      <c r="U112" s="20">
        <v>26621912526</v>
      </c>
      <c r="V112" s="22" t="s">
        <v>38</v>
      </c>
      <c r="W112" s="21">
        <v>26621912526</v>
      </c>
      <c r="X112" s="21">
        <v>26621912526</v>
      </c>
      <c r="Y112" s="22" t="s">
        <v>38</v>
      </c>
      <c r="Z112" s="22" t="s">
        <v>38</v>
      </c>
      <c r="AA112" s="21">
        <v>2191713907</v>
      </c>
      <c r="AB112" s="21">
        <v>2191713907</v>
      </c>
      <c r="AC112" s="22" t="s">
        <v>38</v>
      </c>
      <c r="AD112" s="22"/>
      <c r="AE112" s="17" t="s">
        <v>341</v>
      </c>
      <c r="AF112" s="17" t="s">
        <v>342</v>
      </c>
      <c r="AG112" s="17" t="s">
        <v>40</v>
      </c>
      <c r="AH112" s="17" t="s">
        <v>88</v>
      </c>
      <c r="AI112" s="17"/>
      <c r="AJ112" s="17"/>
      <c r="AK112" s="17"/>
      <c r="AL112" s="17"/>
      <c r="AM112" s="17"/>
      <c r="AN112" s="17"/>
      <c r="AO112" s="22"/>
      <c r="AP112" s="17" t="s">
        <v>125</v>
      </c>
      <c r="AQ112" s="17"/>
      <c r="AR112" s="17" t="s">
        <v>88</v>
      </c>
      <c r="AS112" s="17"/>
      <c r="AT112" s="50" t="s">
        <v>503</v>
      </c>
      <c r="AU112" s="35">
        <f t="shared" si="2"/>
        <v>1</v>
      </c>
      <c r="AV112" s="35">
        <f t="shared" si="3"/>
        <v>1900</v>
      </c>
    </row>
    <row r="113" spans="1:48" ht="37.5">
      <c r="A113" s="34">
        <v>20</v>
      </c>
      <c r="B113" s="17">
        <v>1000000000008780</v>
      </c>
      <c r="C113" s="18" t="s">
        <v>389</v>
      </c>
      <c r="D113" s="17"/>
      <c r="E113" s="17" t="s">
        <v>336</v>
      </c>
      <c r="F113" s="17" t="s">
        <v>337</v>
      </c>
      <c r="G113" s="17" t="s">
        <v>338</v>
      </c>
      <c r="H113" s="17"/>
      <c r="I113" s="18" t="s">
        <v>390</v>
      </c>
      <c r="J113" s="18"/>
      <c r="K113" s="17" t="s">
        <v>340</v>
      </c>
      <c r="L113" s="18" t="s">
        <v>68</v>
      </c>
      <c r="M113" s="17"/>
      <c r="N113" s="17"/>
      <c r="O113" s="20">
        <v>33803062332</v>
      </c>
      <c r="P113" s="20">
        <v>9704220711</v>
      </c>
      <c r="Q113" s="21">
        <v>43507283043</v>
      </c>
      <c r="R113" s="20">
        <v>4350728304</v>
      </c>
      <c r="S113" s="21">
        <v>47858011347</v>
      </c>
      <c r="T113" s="21">
        <v>43507283043</v>
      </c>
      <c r="U113" s="20">
        <v>47858011347</v>
      </c>
      <c r="V113" s="22" t="s">
        <v>38</v>
      </c>
      <c r="W113" s="21">
        <v>47858011347</v>
      </c>
      <c r="X113" s="21">
        <v>32342593565</v>
      </c>
      <c r="Y113" s="22" t="s">
        <v>38</v>
      </c>
      <c r="Z113" s="21">
        <v>15515417782</v>
      </c>
      <c r="AA113" s="22" t="s">
        <v>38</v>
      </c>
      <c r="AB113" s="22" t="s">
        <v>38</v>
      </c>
      <c r="AC113" s="22" t="s">
        <v>38</v>
      </c>
      <c r="AD113" s="22"/>
      <c r="AE113" s="17" t="s">
        <v>341</v>
      </c>
      <c r="AF113" s="17" t="s">
        <v>342</v>
      </c>
      <c r="AG113" s="17" t="s">
        <v>40</v>
      </c>
      <c r="AH113" s="17" t="s">
        <v>88</v>
      </c>
      <c r="AI113" s="17"/>
      <c r="AJ113" s="17"/>
      <c r="AK113" s="17"/>
      <c r="AL113" s="17"/>
      <c r="AM113" s="17"/>
      <c r="AN113" s="17"/>
      <c r="AO113" s="22"/>
      <c r="AP113" s="17" t="s">
        <v>125</v>
      </c>
      <c r="AQ113" s="17"/>
      <c r="AR113" s="17" t="s">
        <v>88</v>
      </c>
      <c r="AS113" s="17"/>
      <c r="AT113" s="50" t="s">
        <v>503</v>
      </c>
      <c r="AU113" s="35">
        <f t="shared" si="2"/>
        <v>1</v>
      </c>
      <c r="AV113" s="35">
        <f t="shared" si="3"/>
        <v>1900</v>
      </c>
    </row>
    <row r="114" spans="1:48" ht="37.5">
      <c r="A114" s="34">
        <v>21</v>
      </c>
      <c r="B114" s="17">
        <v>1000000000008780</v>
      </c>
      <c r="C114" s="18" t="s">
        <v>391</v>
      </c>
      <c r="D114" s="17"/>
      <c r="E114" s="17" t="s">
        <v>336</v>
      </c>
      <c r="F114" s="17" t="s">
        <v>337</v>
      </c>
      <c r="G114" s="17" t="s">
        <v>338</v>
      </c>
      <c r="H114" s="17"/>
      <c r="I114" s="18" t="s">
        <v>392</v>
      </c>
      <c r="J114" s="18"/>
      <c r="K114" s="17" t="s">
        <v>340</v>
      </c>
      <c r="L114" s="18" t="s">
        <v>68</v>
      </c>
      <c r="M114" s="17"/>
      <c r="N114" s="17"/>
      <c r="O114" s="20">
        <v>30236806659</v>
      </c>
      <c r="P114" s="20">
        <v>3331506690</v>
      </c>
      <c r="Q114" s="21">
        <v>33568313349</v>
      </c>
      <c r="R114" s="20">
        <v>3356831335</v>
      </c>
      <c r="S114" s="21">
        <v>36925144684</v>
      </c>
      <c r="T114" s="21">
        <v>33568313349</v>
      </c>
      <c r="U114" s="20">
        <v>36925144684</v>
      </c>
      <c r="V114" s="22" t="s">
        <v>38</v>
      </c>
      <c r="W114" s="21">
        <v>35246729017</v>
      </c>
      <c r="X114" s="21">
        <v>28554638196</v>
      </c>
      <c r="Y114" s="22" t="s">
        <v>38</v>
      </c>
      <c r="Z114" s="21">
        <v>6692090821</v>
      </c>
      <c r="AA114" s="21">
        <v>7709136276</v>
      </c>
      <c r="AB114" s="21">
        <v>7709136276</v>
      </c>
      <c r="AC114" s="22" t="s">
        <v>38</v>
      </c>
      <c r="AD114" s="22"/>
      <c r="AE114" s="17" t="s">
        <v>341</v>
      </c>
      <c r="AF114" s="17" t="s">
        <v>342</v>
      </c>
      <c r="AG114" s="17" t="s">
        <v>40</v>
      </c>
      <c r="AH114" s="17" t="s">
        <v>88</v>
      </c>
      <c r="AI114" s="17"/>
      <c r="AJ114" s="17"/>
      <c r="AK114" s="17"/>
      <c r="AL114" s="17"/>
      <c r="AM114" s="17"/>
      <c r="AN114" s="17"/>
      <c r="AO114" s="22"/>
      <c r="AP114" s="17" t="s">
        <v>125</v>
      </c>
      <c r="AQ114" s="17"/>
      <c r="AR114" s="17" t="s">
        <v>88</v>
      </c>
      <c r="AS114" s="44"/>
      <c r="AT114" s="50" t="s">
        <v>503</v>
      </c>
      <c r="AU114" s="35">
        <f t="shared" si="2"/>
        <v>1</v>
      </c>
      <c r="AV114" s="35">
        <f t="shared" si="3"/>
        <v>1900</v>
      </c>
    </row>
    <row r="115" spans="1:48" ht="37.5">
      <c r="A115" s="34">
        <v>22</v>
      </c>
      <c r="B115" s="17">
        <v>1000000000009300</v>
      </c>
      <c r="C115" s="18" t="s">
        <v>393</v>
      </c>
      <c r="D115" s="17"/>
      <c r="E115" s="17" t="s">
        <v>336</v>
      </c>
      <c r="F115" s="17" t="s">
        <v>337</v>
      </c>
      <c r="G115" s="17" t="s">
        <v>338</v>
      </c>
      <c r="H115" s="17"/>
      <c r="I115" s="18" t="s">
        <v>394</v>
      </c>
      <c r="J115" s="18"/>
      <c r="K115" s="17" t="s">
        <v>340</v>
      </c>
      <c r="L115" s="18" t="s">
        <v>395</v>
      </c>
      <c r="M115" s="17"/>
      <c r="N115" s="17"/>
      <c r="O115" s="20">
        <v>11234893080</v>
      </c>
      <c r="P115" s="20">
        <v>117438119</v>
      </c>
      <c r="Q115" s="21">
        <v>11352331199</v>
      </c>
      <c r="R115" s="20">
        <v>1135233120</v>
      </c>
      <c r="S115" s="21">
        <v>12487564319</v>
      </c>
      <c r="T115" s="21">
        <v>11352331199</v>
      </c>
      <c r="U115" s="20">
        <v>12487564319</v>
      </c>
      <c r="V115" s="22" t="s">
        <v>38</v>
      </c>
      <c r="W115" s="21">
        <v>11918695145</v>
      </c>
      <c r="X115" s="21">
        <v>9629474154</v>
      </c>
      <c r="Y115" s="22" t="s">
        <v>38</v>
      </c>
      <c r="Z115" s="21">
        <v>2289220991</v>
      </c>
      <c r="AA115" s="21">
        <v>1123489308</v>
      </c>
      <c r="AB115" s="21">
        <v>1123489308</v>
      </c>
      <c r="AC115" s="22" t="s">
        <v>38</v>
      </c>
      <c r="AD115" s="22"/>
      <c r="AE115" s="17" t="s">
        <v>341</v>
      </c>
      <c r="AF115" s="17" t="s">
        <v>342</v>
      </c>
      <c r="AG115" s="17" t="s">
        <v>304</v>
      </c>
      <c r="AH115" s="17" t="s">
        <v>69</v>
      </c>
      <c r="AI115" s="17"/>
      <c r="AJ115" s="17" t="s">
        <v>359</v>
      </c>
      <c r="AK115" s="17"/>
      <c r="AL115" s="17"/>
      <c r="AM115" s="17"/>
      <c r="AN115" s="17"/>
      <c r="AO115" s="22"/>
      <c r="AP115" s="17" t="s">
        <v>125</v>
      </c>
      <c r="AQ115" s="17" t="s">
        <v>132</v>
      </c>
      <c r="AR115" s="42" t="s">
        <v>127</v>
      </c>
      <c r="AS115" s="50" t="s">
        <v>128</v>
      </c>
      <c r="AT115" s="50" t="s">
        <v>503</v>
      </c>
      <c r="AU115" s="35">
        <f t="shared" si="2"/>
        <v>1</v>
      </c>
      <c r="AV115" s="35">
        <f t="shared" si="3"/>
        <v>1900</v>
      </c>
    </row>
    <row r="116" spans="1:48" ht="37.5">
      <c r="A116" s="34">
        <v>23</v>
      </c>
      <c r="B116" s="17">
        <v>1000000000009300</v>
      </c>
      <c r="C116" s="18" t="s">
        <v>396</v>
      </c>
      <c r="D116" s="17"/>
      <c r="E116" s="17" t="s">
        <v>336</v>
      </c>
      <c r="F116" s="17" t="s">
        <v>337</v>
      </c>
      <c r="G116" s="17" t="s">
        <v>338</v>
      </c>
      <c r="H116" s="17"/>
      <c r="I116" s="18" t="s">
        <v>397</v>
      </c>
      <c r="J116" s="18"/>
      <c r="K116" s="17" t="s">
        <v>340</v>
      </c>
      <c r="L116" s="18" t="s">
        <v>266</v>
      </c>
      <c r="M116" s="17"/>
      <c r="N116" s="17"/>
      <c r="O116" s="20">
        <v>274400000000</v>
      </c>
      <c r="P116" s="20">
        <v>-37713139031</v>
      </c>
      <c r="Q116" s="21">
        <v>236686860969</v>
      </c>
      <c r="R116" s="20">
        <v>22006624017</v>
      </c>
      <c r="S116" s="21">
        <v>258693484986</v>
      </c>
      <c r="T116" s="21">
        <v>236686860969</v>
      </c>
      <c r="U116" s="20">
        <v>258693484986</v>
      </c>
      <c r="V116" s="22" t="s">
        <v>38</v>
      </c>
      <c r="W116" s="21">
        <v>258693484986</v>
      </c>
      <c r="X116" s="21">
        <v>251319825983</v>
      </c>
      <c r="Y116" s="22" t="s">
        <v>38</v>
      </c>
      <c r="Z116" s="21">
        <v>7373659003</v>
      </c>
      <c r="AA116" s="22" t="s">
        <v>38</v>
      </c>
      <c r="AB116" s="22" t="s">
        <v>38</v>
      </c>
      <c r="AC116" s="22" t="s">
        <v>38</v>
      </c>
      <c r="AD116" s="22"/>
      <c r="AE116" s="17" t="s">
        <v>341</v>
      </c>
      <c r="AF116" s="17" t="s">
        <v>342</v>
      </c>
      <c r="AG116" s="17" t="s">
        <v>40</v>
      </c>
      <c r="AH116" s="17" t="s">
        <v>88</v>
      </c>
      <c r="AI116" s="17"/>
      <c r="AJ116" s="17"/>
      <c r="AK116" s="17"/>
      <c r="AL116" s="17"/>
      <c r="AM116" s="17"/>
      <c r="AN116" s="17"/>
      <c r="AO116" s="22"/>
      <c r="AP116" s="17" t="s">
        <v>125</v>
      </c>
      <c r="AQ116" s="17"/>
      <c r="AR116" s="17" t="s">
        <v>88</v>
      </c>
      <c r="AS116" s="45"/>
      <c r="AT116" s="50" t="s">
        <v>503</v>
      </c>
      <c r="AU116" s="35">
        <f t="shared" si="2"/>
        <v>1</v>
      </c>
      <c r="AV116" s="35">
        <f t="shared" si="3"/>
        <v>1900</v>
      </c>
    </row>
    <row r="117" spans="1:48" ht="37.5">
      <c r="A117" s="34">
        <v>24</v>
      </c>
      <c r="B117" s="17">
        <v>1000000000009300</v>
      </c>
      <c r="C117" s="18" t="s">
        <v>398</v>
      </c>
      <c r="D117" s="17"/>
      <c r="E117" s="17" t="s">
        <v>336</v>
      </c>
      <c r="F117" s="17" t="s">
        <v>337</v>
      </c>
      <c r="G117" s="17" t="s">
        <v>338</v>
      </c>
      <c r="H117" s="17"/>
      <c r="I117" s="18" t="s">
        <v>399</v>
      </c>
      <c r="J117" s="18"/>
      <c r="K117" s="17" t="s">
        <v>340</v>
      </c>
      <c r="L117" s="18" t="s">
        <v>381</v>
      </c>
      <c r="M117" s="17"/>
      <c r="N117" s="17"/>
      <c r="O117" s="20">
        <v>96500903000</v>
      </c>
      <c r="P117" s="20">
        <v>-3902520335</v>
      </c>
      <c r="Q117" s="21">
        <v>92598382665</v>
      </c>
      <c r="R117" s="20">
        <v>7983953111</v>
      </c>
      <c r="S117" s="21">
        <v>100582335776</v>
      </c>
      <c r="T117" s="21">
        <v>91553276511</v>
      </c>
      <c r="U117" s="20">
        <v>99453621130</v>
      </c>
      <c r="V117" s="21">
        <v>1128714646</v>
      </c>
      <c r="W117" s="21">
        <v>94815684779</v>
      </c>
      <c r="X117" s="21">
        <v>64838714321</v>
      </c>
      <c r="Y117" s="22" t="s">
        <v>38</v>
      </c>
      <c r="Z117" s="21">
        <v>29976970458</v>
      </c>
      <c r="AA117" s="22" t="s">
        <v>38</v>
      </c>
      <c r="AB117" s="22" t="s">
        <v>38</v>
      </c>
      <c r="AC117" s="22" t="s">
        <v>38</v>
      </c>
      <c r="AD117" s="22"/>
      <c r="AE117" s="17" t="s">
        <v>341</v>
      </c>
      <c r="AF117" s="17" t="s">
        <v>342</v>
      </c>
      <c r="AG117" s="17" t="s">
        <v>40</v>
      </c>
      <c r="AH117" s="17" t="s">
        <v>58</v>
      </c>
      <c r="AI117" s="17"/>
      <c r="AJ117" s="17" t="s">
        <v>400</v>
      </c>
      <c r="AK117" s="17" t="s">
        <v>364</v>
      </c>
      <c r="AL117" s="17"/>
      <c r="AM117" s="17"/>
      <c r="AN117" s="19">
        <v>46356</v>
      </c>
      <c r="AO117" s="22"/>
      <c r="AP117" s="17" t="s">
        <v>125</v>
      </c>
      <c r="AQ117" s="17" t="s">
        <v>144</v>
      </c>
      <c r="AR117" s="42" t="s">
        <v>140</v>
      </c>
      <c r="AS117" s="50" t="s">
        <v>128</v>
      </c>
      <c r="AT117" s="50" t="s">
        <v>503</v>
      </c>
      <c r="AU117" s="35">
        <f t="shared" si="2"/>
        <v>1</v>
      </c>
      <c r="AV117" s="35">
        <f t="shared" si="3"/>
        <v>1900</v>
      </c>
    </row>
    <row r="118" spans="1:48" ht="37.5">
      <c r="A118" s="34">
        <v>25</v>
      </c>
      <c r="B118" s="17">
        <v>1000000000009340</v>
      </c>
      <c r="C118" s="18" t="s">
        <v>401</v>
      </c>
      <c r="D118" s="17"/>
      <c r="E118" s="17" t="s">
        <v>336</v>
      </c>
      <c r="F118" s="17" t="s">
        <v>337</v>
      </c>
      <c r="G118" s="17" t="s">
        <v>338</v>
      </c>
      <c r="H118" s="17"/>
      <c r="I118" s="18" t="s">
        <v>402</v>
      </c>
      <c r="J118" s="18"/>
      <c r="K118" s="17" t="s">
        <v>340</v>
      </c>
      <c r="L118" s="18" t="s">
        <v>381</v>
      </c>
      <c r="M118" s="17"/>
      <c r="N118" s="17"/>
      <c r="O118" s="20">
        <v>22866157000</v>
      </c>
      <c r="P118" s="20">
        <v>5395745833</v>
      </c>
      <c r="Q118" s="21">
        <v>28261902833</v>
      </c>
      <c r="R118" s="20">
        <v>2481795584</v>
      </c>
      <c r="S118" s="21">
        <v>30743698417</v>
      </c>
      <c r="T118" s="21">
        <v>28259872409</v>
      </c>
      <c r="U118" s="20">
        <v>30741505559</v>
      </c>
      <c r="V118" s="21">
        <v>2192858</v>
      </c>
      <c r="W118" s="21">
        <v>29328511939</v>
      </c>
      <c r="X118" s="21">
        <v>12402587847</v>
      </c>
      <c r="Y118" s="22" t="s">
        <v>38</v>
      </c>
      <c r="Z118" s="21">
        <v>16925924092</v>
      </c>
      <c r="AA118" s="22" t="s">
        <v>38</v>
      </c>
      <c r="AB118" s="22" t="s">
        <v>38</v>
      </c>
      <c r="AC118" s="22" t="s">
        <v>38</v>
      </c>
      <c r="AD118" s="22"/>
      <c r="AE118" s="17" t="s">
        <v>341</v>
      </c>
      <c r="AF118" s="17" t="s">
        <v>342</v>
      </c>
      <c r="AG118" s="17" t="s">
        <v>40</v>
      </c>
      <c r="AH118" s="17" t="s">
        <v>58</v>
      </c>
      <c r="AI118" s="17"/>
      <c r="AJ118" s="17" t="s">
        <v>400</v>
      </c>
      <c r="AK118" s="17" t="s">
        <v>364</v>
      </c>
      <c r="AL118" s="17"/>
      <c r="AM118" s="17"/>
      <c r="AN118" s="19">
        <v>46356</v>
      </c>
      <c r="AO118" s="22"/>
      <c r="AP118" s="17" t="s">
        <v>125</v>
      </c>
      <c r="AQ118" s="17" t="s">
        <v>144</v>
      </c>
      <c r="AR118" s="42" t="s">
        <v>140</v>
      </c>
      <c r="AS118" s="50" t="s">
        <v>128</v>
      </c>
      <c r="AT118" s="50" t="s">
        <v>503</v>
      </c>
      <c r="AU118" s="35">
        <f t="shared" si="2"/>
        <v>1</v>
      </c>
      <c r="AV118" s="35">
        <f t="shared" si="3"/>
        <v>1900</v>
      </c>
    </row>
    <row r="119" spans="1:48" ht="37.5">
      <c r="A119" s="34">
        <v>26</v>
      </c>
      <c r="B119" s="17">
        <v>1000000000009340</v>
      </c>
      <c r="C119" s="18" t="s">
        <v>403</v>
      </c>
      <c r="D119" s="17"/>
      <c r="E119" s="17" t="s">
        <v>336</v>
      </c>
      <c r="F119" s="17" t="s">
        <v>337</v>
      </c>
      <c r="G119" s="17" t="s">
        <v>338</v>
      </c>
      <c r="H119" s="17"/>
      <c r="I119" s="18" t="s">
        <v>404</v>
      </c>
      <c r="J119" s="18"/>
      <c r="K119" s="17" t="s">
        <v>340</v>
      </c>
      <c r="L119" s="18" t="s">
        <v>73</v>
      </c>
      <c r="M119" s="17"/>
      <c r="N119" s="17"/>
      <c r="O119" s="20">
        <v>12683911000</v>
      </c>
      <c r="P119" s="20">
        <v>2154533986</v>
      </c>
      <c r="Q119" s="21">
        <v>14838444986</v>
      </c>
      <c r="R119" s="20">
        <v>1335513112</v>
      </c>
      <c r="S119" s="21">
        <v>16173958098</v>
      </c>
      <c r="T119" s="21">
        <v>14838444986</v>
      </c>
      <c r="U119" s="20">
        <v>16173958098</v>
      </c>
      <c r="V119" s="22" t="s">
        <v>38</v>
      </c>
      <c r="W119" s="21">
        <v>15432035849</v>
      </c>
      <c r="X119" s="21">
        <v>15432035849</v>
      </c>
      <c r="Y119" s="22" t="s">
        <v>38</v>
      </c>
      <c r="Z119" s="22" t="s">
        <v>38</v>
      </c>
      <c r="AA119" s="21">
        <v>1268391100</v>
      </c>
      <c r="AB119" s="21">
        <v>1268391100</v>
      </c>
      <c r="AC119" s="22" t="s">
        <v>38</v>
      </c>
      <c r="AD119" s="22"/>
      <c r="AE119" s="17" t="s">
        <v>341</v>
      </c>
      <c r="AF119" s="17" t="s">
        <v>342</v>
      </c>
      <c r="AG119" s="17" t="s">
        <v>40</v>
      </c>
      <c r="AH119" s="17" t="s">
        <v>88</v>
      </c>
      <c r="AI119" s="17"/>
      <c r="AJ119" s="17"/>
      <c r="AK119" s="17"/>
      <c r="AL119" s="17"/>
      <c r="AM119" s="17"/>
      <c r="AN119" s="17"/>
      <c r="AO119" s="22"/>
      <c r="AP119" s="17" t="s">
        <v>125</v>
      </c>
      <c r="AQ119" s="17"/>
      <c r="AR119" s="17" t="s">
        <v>88</v>
      </c>
      <c r="AS119" s="46"/>
      <c r="AT119" s="50" t="s">
        <v>503</v>
      </c>
      <c r="AU119" s="35">
        <f t="shared" si="2"/>
        <v>1</v>
      </c>
      <c r="AV119" s="35">
        <f t="shared" si="3"/>
        <v>1900</v>
      </c>
    </row>
    <row r="120" spans="1:48" ht="37.5">
      <c r="A120" s="34">
        <v>27</v>
      </c>
      <c r="B120" s="17">
        <v>1000000000009380</v>
      </c>
      <c r="C120" s="18" t="s">
        <v>405</v>
      </c>
      <c r="D120" s="17"/>
      <c r="E120" s="17" t="s">
        <v>336</v>
      </c>
      <c r="F120" s="17" t="s">
        <v>337</v>
      </c>
      <c r="G120" s="17" t="s">
        <v>338</v>
      </c>
      <c r="H120" s="17"/>
      <c r="I120" s="18" t="s">
        <v>406</v>
      </c>
      <c r="J120" s="18"/>
      <c r="K120" s="17" t="s">
        <v>340</v>
      </c>
      <c r="L120" s="18" t="s">
        <v>236</v>
      </c>
      <c r="M120" s="17"/>
      <c r="N120" s="17"/>
      <c r="O120" s="20">
        <v>5532350000</v>
      </c>
      <c r="P120" s="20">
        <v>2401864424</v>
      </c>
      <c r="Q120" s="21">
        <v>7934214424</v>
      </c>
      <c r="R120" s="20">
        <v>769281213</v>
      </c>
      <c r="S120" s="21">
        <v>8703495637</v>
      </c>
      <c r="T120" s="21">
        <v>7934214424</v>
      </c>
      <c r="U120" s="20">
        <v>8703495637</v>
      </c>
      <c r="V120" s="22" t="s">
        <v>38</v>
      </c>
      <c r="W120" s="21">
        <v>8703495637</v>
      </c>
      <c r="X120" s="21">
        <v>5474450000</v>
      </c>
      <c r="Y120" s="22" t="s">
        <v>38</v>
      </c>
      <c r="Z120" s="21">
        <v>3229045637</v>
      </c>
      <c r="AA120" s="22" t="s">
        <v>38</v>
      </c>
      <c r="AB120" s="22" t="s">
        <v>38</v>
      </c>
      <c r="AC120" s="22" t="s">
        <v>38</v>
      </c>
      <c r="AD120" s="22"/>
      <c r="AE120" s="17" t="s">
        <v>407</v>
      </c>
      <c r="AF120" s="17" t="s">
        <v>408</v>
      </c>
      <c r="AG120" s="17" t="s">
        <v>40</v>
      </c>
      <c r="AH120" s="17" t="s">
        <v>88</v>
      </c>
      <c r="AI120" s="17"/>
      <c r="AJ120" s="17"/>
      <c r="AK120" s="17"/>
      <c r="AL120" s="17"/>
      <c r="AM120" s="17"/>
      <c r="AN120" s="17"/>
      <c r="AO120" s="22"/>
      <c r="AP120" s="17" t="s">
        <v>125</v>
      </c>
      <c r="AQ120" s="17"/>
      <c r="AR120" s="17" t="s">
        <v>88</v>
      </c>
      <c r="AS120" s="17"/>
      <c r="AT120" s="50" t="s">
        <v>503</v>
      </c>
      <c r="AU120" s="35">
        <f t="shared" si="2"/>
        <v>1</v>
      </c>
      <c r="AV120" s="35">
        <f t="shared" si="3"/>
        <v>1900</v>
      </c>
    </row>
    <row r="121" spans="1:48" ht="37.5">
      <c r="A121" s="34">
        <v>29</v>
      </c>
      <c r="B121" s="17">
        <v>1000000000009430</v>
      </c>
      <c r="C121" s="18" t="s">
        <v>409</v>
      </c>
      <c r="D121" s="17"/>
      <c r="E121" s="17" t="s">
        <v>336</v>
      </c>
      <c r="F121" s="17" t="s">
        <v>337</v>
      </c>
      <c r="G121" s="17" t="s">
        <v>338</v>
      </c>
      <c r="H121" s="17"/>
      <c r="I121" s="18" t="s">
        <v>410</v>
      </c>
      <c r="J121" s="18"/>
      <c r="K121" s="17" t="s">
        <v>340</v>
      </c>
      <c r="L121" s="18" t="s">
        <v>236</v>
      </c>
      <c r="M121" s="17"/>
      <c r="N121" s="17"/>
      <c r="O121" s="20">
        <v>1895248575</v>
      </c>
      <c r="P121" s="20">
        <v>1740279685</v>
      </c>
      <c r="Q121" s="21">
        <v>3635528260</v>
      </c>
      <c r="R121" s="20">
        <v>326487645</v>
      </c>
      <c r="S121" s="21">
        <v>3962015905</v>
      </c>
      <c r="T121" s="21">
        <v>3635528260</v>
      </c>
      <c r="U121" s="20">
        <v>3962015905</v>
      </c>
      <c r="V121" s="22" t="s">
        <v>38</v>
      </c>
      <c r="W121" s="21">
        <v>3962015905</v>
      </c>
      <c r="X121" s="21">
        <v>3275835106</v>
      </c>
      <c r="Y121" s="22" t="s">
        <v>38</v>
      </c>
      <c r="Z121" s="21">
        <v>686180799</v>
      </c>
      <c r="AA121" s="22" t="s">
        <v>38</v>
      </c>
      <c r="AB121" s="22" t="s">
        <v>38</v>
      </c>
      <c r="AC121" s="22" t="s">
        <v>38</v>
      </c>
      <c r="AD121" s="22"/>
      <c r="AE121" s="17" t="s">
        <v>341</v>
      </c>
      <c r="AF121" s="17" t="s">
        <v>342</v>
      </c>
      <c r="AG121" s="17" t="s">
        <v>40</v>
      </c>
      <c r="AH121" s="17" t="s">
        <v>88</v>
      </c>
      <c r="AI121" s="17"/>
      <c r="AJ121" s="17"/>
      <c r="AK121" s="17"/>
      <c r="AL121" s="17"/>
      <c r="AM121" s="17"/>
      <c r="AN121" s="17"/>
      <c r="AO121" s="22"/>
      <c r="AP121" s="17" t="s">
        <v>125</v>
      </c>
      <c r="AQ121" s="17"/>
      <c r="AR121" s="17" t="s">
        <v>88</v>
      </c>
      <c r="AS121" s="17"/>
      <c r="AT121" s="50" t="s">
        <v>503</v>
      </c>
      <c r="AU121" s="35">
        <f t="shared" si="2"/>
        <v>1</v>
      </c>
      <c r="AV121" s="35">
        <f t="shared" si="3"/>
        <v>1900</v>
      </c>
    </row>
    <row r="122" spans="1:48" ht="37.5">
      <c r="A122" s="34">
        <v>30</v>
      </c>
      <c r="B122" s="17">
        <v>1000000000009480</v>
      </c>
      <c r="C122" s="18" t="s">
        <v>411</v>
      </c>
      <c r="D122" s="17"/>
      <c r="E122" s="17" t="s">
        <v>336</v>
      </c>
      <c r="F122" s="17" t="s">
        <v>337</v>
      </c>
      <c r="G122" s="17" t="s">
        <v>338</v>
      </c>
      <c r="H122" s="17"/>
      <c r="I122" s="18" t="s">
        <v>412</v>
      </c>
      <c r="J122" s="18"/>
      <c r="K122" s="17" t="s">
        <v>340</v>
      </c>
      <c r="L122" s="18" t="s">
        <v>252</v>
      </c>
      <c r="M122" s="17"/>
      <c r="N122" s="17"/>
      <c r="O122" s="20">
        <v>5735263636</v>
      </c>
      <c r="P122" s="20">
        <v>-217555857</v>
      </c>
      <c r="Q122" s="21">
        <v>5517707779</v>
      </c>
      <c r="R122" s="20">
        <v>441416622</v>
      </c>
      <c r="S122" s="21">
        <v>5959124401</v>
      </c>
      <c r="T122" s="21">
        <v>5517707779</v>
      </c>
      <c r="U122" s="20">
        <v>5959124401</v>
      </c>
      <c r="V122" s="22" t="s">
        <v>38</v>
      </c>
      <c r="W122" s="21">
        <v>5959124401</v>
      </c>
      <c r="X122" s="21">
        <v>5959124401</v>
      </c>
      <c r="Y122" s="22" t="s">
        <v>38</v>
      </c>
      <c r="Z122" s="22" t="s">
        <v>38</v>
      </c>
      <c r="AA122" s="21">
        <v>860289545</v>
      </c>
      <c r="AB122" s="21">
        <v>860289545</v>
      </c>
      <c r="AC122" s="22" t="s">
        <v>38</v>
      </c>
      <c r="AD122" s="22"/>
      <c r="AE122" s="17" t="s">
        <v>407</v>
      </c>
      <c r="AF122" s="17" t="s">
        <v>408</v>
      </c>
      <c r="AG122" s="17" t="s">
        <v>40</v>
      </c>
      <c r="AH122" s="17" t="s">
        <v>88</v>
      </c>
      <c r="AI122" s="17"/>
      <c r="AJ122" s="17"/>
      <c r="AK122" s="17"/>
      <c r="AL122" s="17"/>
      <c r="AM122" s="17"/>
      <c r="AN122" s="17"/>
      <c r="AO122" s="22"/>
      <c r="AP122" s="17" t="s">
        <v>125</v>
      </c>
      <c r="AQ122" s="17"/>
      <c r="AR122" s="17" t="s">
        <v>88</v>
      </c>
      <c r="AS122" s="17"/>
      <c r="AT122" s="50" t="s">
        <v>503</v>
      </c>
      <c r="AU122" s="35">
        <f t="shared" si="2"/>
        <v>1</v>
      </c>
      <c r="AV122" s="35">
        <f t="shared" si="3"/>
        <v>1900</v>
      </c>
    </row>
    <row r="123" spans="1:48" ht="37.5">
      <c r="A123" s="34">
        <v>31</v>
      </c>
      <c r="B123" s="17">
        <v>1000000000009660</v>
      </c>
      <c r="C123" s="18" t="s">
        <v>413</v>
      </c>
      <c r="D123" s="17"/>
      <c r="E123" s="17" t="s">
        <v>336</v>
      </c>
      <c r="F123" s="17" t="s">
        <v>337</v>
      </c>
      <c r="G123" s="17" t="s">
        <v>338</v>
      </c>
      <c r="H123" s="17"/>
      <c r="I123" s="18" t="s">
        <v>414</v>
      </c>
      <c r="J123" s="18"/>
      <c r="K123" s="17" t="s">
        <v>340</v>
      </c>
      <c r="L123" s="18" t="s">
        <v>73</v>
      </c>
      <c r="M123" s="17"/>
      <c r="N123" s="17"/>
      <c r="O123" s="20">
        <v>1698375000</v>
      </c>
      <c r="P123" s="20">
        <v>1767163914</v>
      </c>
      <c r="Q123" s="21">
        <v>3465538914</v>
      </c>
      <c r="R123" s="20">
        <v>294680945</v>
      </c>
      <c r="S123" s="21">
        <v>3760219859</v>
      </c>
      <c r="T123" s="21">
        <v>3465538914</v>
      </c>
      <c r="U123" s="20">
        <v>3760219859</v>
      </c>
      <c r="V123" s="22" t="s">
        <v>38</v>
      </c>
      <c r="W123" s="21">
        <v>3586942913</v>
      </c>
      <c r="X123" s="21">
        <v>3586942913</v>
      </c>
      <c r="Y123" s="22" t="s">
        <v>38</v>
      </c>
      <c r="Z123" s="22" t="s">
        <v>38</v>
      </c>
      <c r="AA123" s="21">
        <v>339675000</v>
      </c>
      <c r="AB123" s="21">
        <v>339675000</v>
      </c>
      <c r="AC123" s="22" t="s">
        <v>38</v>
      </c>
      <c r="AD123" s="22"/>
      <c r="AE123" s="17" t="s">
        <v>407</v>
      </c>
      <c r="AF123" s="17" t="s">
        <v>408</v>
      </c>
      <c r="AG123" s="17" t="s">
        <v>40</v>
      </c>
      <c r="AH123" s="17" t="s">
        <v>88</v>
      </c>
      <c r="AI123" s="17"/>
      <c r="AJ123" s="17"/>
      <c r="AK123" s="17"/>
      <c r="AL123" s="17"/>
      <c r="AM123" s="17"/>
      <c r="AN123" s="17"/>
      <c r="AO123" s="22"/>
      <c r="AP123" s="17" t="s">
        <v>125</v>
      </c>
      <c r="AQ123" s="17"/>
      <c r="AR123" s="17" t="s">
        <v>88</v>
      </c>
      <c r="AS123" s="17"/>
      <c r="AT123" s="50" t="s">
        <v>503</v>
      </c>
      <c r="AU123" s="35">
        <f t="shared" si="2"/>
        <v>1</v>
      </c>
      <c r="AV123" s="35">
        <f t="shared" si="3"/>
        <v>1900</v>
      </c>
    </row>
    <row r="124" spans="1:48" ht="37.5">
      <c r="A124" s="34">
        <v>32</v>
      </c>
      <c r="B124" s="17">
        <v>1000000000009840</v>
      </c>
      <c r="C124" s="18" t="s">
        <v>415</v>
      </c>
      <c r="D124" s="17"/>
      <c r="E124" s="17" t="s">
        <v>336</v>
      </c>
      <c r="F124" s="17" t="s">
        <v>337</v>
      </c>
      <c r="G124" s="17" t="s">
        <v>338</v>
      </c>
      <c r="H124" s="17"/>
      <c r="I124" s="18" t="s">
        <v>416</v>
      </c>
      <c r="J124" s="18"/>
      <c r="K124" s="17" t="s">
        <v>340</v>
      </c>
      <c r="L124" s="18" t="s">
        <v>395</v>
      </c>
      <c r="M124" s="17"/>
      <c r="N124" s="17"/>
      <c r="O124" s="20">
        <v>34057085602</v>
      </c>
      <c r="P124" s="20">
        <v>4537429083</v>
      </c>
      <c r="Q124" s="21">
        <v>38594514685</v>
      </c>
      <c r="R124" s="20">
        <v>3859451469</v>
      </c>
      <c r="S124" s="21">
        <v>42453966154</v>
      </c>
      <c r="T124" s="21">
        <v>38594514685</v>
      </c>
      <c r="U124" s="20">
        <v>42453966154</v>
      </c>
      <c r="V124" s="22" t="s">
        <v>38</v>
      </c>
      <c r="W124" s="21">
        <v>40524240420</v>
      </c>
      <c r="X124" s="21">
        <v>18732232935</v>
      </c>
      <c r="Y124" s="22" t="s">
        <v>38</v>
      </c>
      <c r="Z124" s="21">
        <v>21792007485</v>
      </c>
      <c r="AA124" s="21">
        <v>3405708560</v>
      </c>
      <c r="AB124" s="21">
        <v>3405708560</v>
      </c>
      <c r="AC124" s="22" t="s">
        <v>38</v>
      </c>
      <c r="AD124" s="22"/>
      <c r="AE124" s="17" t="s">
        <v>341</v>
      </c>
      <c r="AF124" s="17" t="s">
        <v>342</v>
      </c>
      <c r="AG124" s="17" t="s">
        <v>40</v>
      </c>
      <c r="AH124" s="17" t="s">
        <v>88</v>
      </c>
      <c r="AI124" s="17"/>
      <c r="AJ124" s="17"/>
      <c r="AK124" s="17"/>
      <c r="AL124" s="17"/>
      <c r="AM124" s="17"/>
      <c r="AN124" s="17"/>
      <c r="AO124" s="22"/>
      <c r="AP124" s="17" t="s">
        <v>125</v>
      </c>
      <c r="AQ124" s="17"/>
      <c r="AR124" s="17" t="s">
        <v>88</v>
      </c>
      <c r="AS124" s="17"/>
      <c r="AT124" s="50" t="s">
        <v>503</v>
      </c>
      <c r="AU124" s="35">
        <f t="shared" si="2"/>
        <v>1</v>
      </c>
      <c r="AV124" s="35">
        <f t="shared" si="3"/>
        <v>1900</v>
      </c>
    </row>
    <row r="125" spans="1:48" ht="37.5">
      <c r="A125" s="34">
        <v>33</v>
      </c>
      <c r="B125" s="17">
        <v>1000000000009890</v>
      </c>
      <c r="C125" s="18" t="s">
        <v>417</v>
      </c>
      <c r="D125" s="17"/>
      <c r="E125" s="17" t="s">
        <v>336</v>
      </c>
      <c r="F125" s="17" t="s">
        <v>337</v>
      </c>
      <c r="G125" s="17" t="s">
        <v>338</v>
      </c>
      <c r="H125" s="17"/>
      <c r="I125" s="18" t="s">
        <v>418</v>
      </c>
      <c r="J125" s="18"/>
      <c r="K125" s="17" t="s">
        <v>340</v>
      </c>
      <c r="L125" s="18" t="s">
        <v>376</v>
      </c>
      <c r="M125" s="17"/>
      <c r="N125" s="17"/>
      <c r="O125" s="20">
        <v>218207302866</v>
      </c>
      <c r="P125" s="20">
        <v>2571453325</v>
      </c>
      <c r="Q125" s="21">
        <v>220778756191</v>
      </c>
      <c r="R125" s="20">
        <v>17662300494</v>
      </c>
      <c r="S125" s="21">
        <v>238441056685</v>
      </c>
      <c r="T125" s="21">
        <v>139273898945</v>
      </c>
      <c r="U125" s="20">
        <v>150415810861</v>
      </c>
      <c r="V125" s="21">
        <v>88025245824</v>
      </c>
      <c r="W125" s="21">
        <v>154354506667</v>
      </c>
      <c r="X125" s="21">
        <v>123420097474</v>
      </c>
      <c r="Y125" s="22" t="s">
        <v>38</v>
      </c>
      <c r="Z125" s="21">
        <v>30934409193</v>
      </c>
      <c r="AA125" s="21">
        <v>43641460573</v>
      </c>
      <c r="AB125" s="21">
        <v>32692290298</v>
      </c>
      <c r="AC125" s="21">
        <v>10949170275</v>
      </c>
      <c r="AD125" s="22"/>
      <c r="AE125" s="17" t="s">
        <v>341</v>
      </c>
      <c r="AF125" s="17" t="s">
        <v>342</v>
      </c>
      <c r="AG125" s="17" t="s">
        <v>40</v>
      </c>
      <c r="AH125" s="17" t="s">
        <v>58</v>
      </c>
      <c r="AI125" s="17"/>
      <c r="AJ125" s="17" t="s">
        <v>369</v>
      </c>
      <c r="AK125" s="17" t="s">
        <v>370</v>
      </c>
      <c r="AL125" s="17"/>
      <c r="AM125" s="17"/>
      <c r="AN125" s="17"/>
      <c r="AO125" s="22"/>
      <c r="AP125" s="17" t="s">
        <v>125</v>
      </c>
      <c r="AQ125" s="17" t="s">
        <v>144</v>
      </c>
      <c r="AR125" s="17" t="s">
        <v>140</v>
      </c>
      <c r="AS125" s="17"/>
      <c r="AT125" s="50" t="s">
        <v>503</v>
      </c>
      <c r="AU125" s="35">
        <f t="shared" si="2"/>
        <v>1</v>
      </c>
      <c r="AV125" s="35">
        <f t="shared" si="3"/>
        <v>1900</v>
      </c>
    </row>
    <row r="126" spans="1:48" ht="37.5">
      <c r="A126" s="34">
        <v>34</v>
      </c>
      <c r="B126" s="17">
        <v>1000000000010240</v>
      </c>
      <c r="C126" s="18" t="s">
        <v>419</v>
      </c>
      <c r="D126" s="17"/>
      <c r="E126" s="17" t="s">
        <v>336</v>
      </c>
      <c r="F126" s="17" t="s">
        <v>337</v>
      </c>
      <c r="G126" s="17" t="s">
        <v>338</v>
      </c>
      <c r="H126" s="17"/>
      <c r="I126" s="18" t="s">
        <v>420</v>
      </c>
      <c r="J126" s="18"/>
      <c r="K126" s="17" t="s">
        <v>340</v>
      </c>
      <c r="L126" s="18" t="s">
        <v>421</v>
      </c>
      <c r="M126" s="17"/>
      <c r="N126" s="17"/>
      <c r="O126" s="20">
        <v>415876000000</v>
      </c>
      <c r="P126" s="20">
        <v>-153514063217</v>
      </c>
      <c r="Q126" s="21">
        <v>262361936783</v>
      </c>
      <c r="R126" s="20">
        <v>21764977235</v>
      </c>
      <c r="S126" s="21">
        <v>284126914018</v>
      </c>
      <c r="T126" s="21">
        <v>262361936783</v>
      </c>
      <c r="U126" s="20">
        <v>284126914018</v>
      </c>
      <c r="V126" s="22" t="s">
        <v>38</v>
      </c>
      <c r="W126" s="21">
        <v>284028154839</v>
      </c>
      <c r="X126" s="21">
        <v>284657900915</v>
      </c>
      <c r="Y126" s="22" t="s">
        <v>38</v>
      </c>
      <c r="Z126" s="21">
        <v>-629746076</v>
      </c>
      <c r="AA126" s="21">
        <v>41587600000</v>
      </c>
      <c r="AB126" s="21">
        <v>41587600000</v>
      </c>
      <c r="AC126" s="22" t="s">
        <v>38</v>
      </c>
      <c r="AD126" s="22"/>
      <c r="AE126" s="17" t="s">
        <v>341</v>
      </c>
      <c r="AF126" s="17" t="s">
        <v>342</v>
      </c>
      <c r="AG126" s="17" t="s">
        <v>40</v>
      </c>
      <c r="AH126" s="17" t="s">
        <v>88</v>
      </c>
      <c r="AI126" s="17"/>
      <c r="AJ126" s="17"/>
      <c r="AK126" s="17"/>
      <c r="AL126" s="17"/>
      <c r="AM126" s="17"/>
      <c r="AN126" s="17"/>
      <c r="AO126" s="22"/>
      <c r="AP126" s="17" t="s">
        <v>125</v>
      </c>
      <c r="AQ126" s="17"/>
      <c r="AR126" s="17" t="s">
        <v>88</v>
      </c>
      <c r="AS126" s="44"/>
      <c r="AT126" s="50" t="s">
        <v>503</v>
      </c>
      <c r="AU126" s="35">
        <f t="shared" si="2"/>
        <v>1</v>
      </c>
      <c r="AV126" s="35">
        <f t="shared" si="3"/>
        <v>1900</v>
      </c>
    </row>
    <row r="127" spans="1:48" ht="37.5">
      <c r="A127" s="34">
        <v>35</v>
      </c>
      <c r="B127" s="17">
        <v>1000000000010560</v>
      </c>
      <c r="C127" s="18" t="s">
        <v>422</v>
      </c>
      <c r="D127" s="17"/>
      <c r="E127" s="17" t="s">
        <v>336</v>
      </c>
      <c r="F127" s="17" t="s">
        <v>337</v>
      </c>
      <c r="G127" s="17" t="s">
        <v>338</v>
      </c>
      <c r="H127" s="17"/>
      <c r="I127" s="18" t="s">
        <v>423</v>
      </c>
      <c r="J127" s="18"/>
      <c r="K127" s="17" t="s">
        <v>340</v>
      </c>
      <c r="L127" s="18" t="s">
        <v>68</v>
      </c>
      <c r="M127" s="17"/>
      <c r="N127" s="17"/>
      <c r="O127" s="20">
        <v>76579233681</v>
      </c>
      <c r="P127" s="20">
        <v>11822760262</v>
      </c>
      <c r="Q127" s="21">
        <v>88401993943</v>
      </c>
      <c r="R127" s="20">
        <v>7183018785</v>
      </c>
      <c r="S127" s="21">
        <v>95585012728</v>
      </c>
      <c r="T127" s="21">
        <v>61261133827</v>
      </c>
      <c r="U127" s="20">
        <v>66162024533</v>
      </c>
      <c r="V127" s="21">
        <v>29422988195</v>
      </c>
      <c r="W127" s="21">
        <v>65216654939</v>
      </c>
      <c r="X127" s="21">
        <v>64502671751</v>
      </c>
      <c r="Y127" s="22" t="s">
        <v>38</v>
      </c>
      <c r="Z127" s="21">
        <v>713983188</v>
      </c>
      <c r="AA127" s="21">
        <v>20000000000</v>
      </c>
      <c r="AB127" s="21">
        <v>17842312902</v>
      </c>
      <c r="AC127" s="21">
        <v>2157687098</v>
      </c>
      <c r="AD127" s="22"/>
      <c r="AE127" s="17" t="s">
        <v>341</v>
      </c>
      <c r="AF127" s="17" t="s">
        <v>342</v>
      </c>
      <c r="AG127" s="17" t="s">
        <v>304</v>
      </c>
      <c r="AH127" s="17" t="s">
        <v>424</v>
      </c>
      <c r="AI127" s="17"/>
      <c r="AJ127" s="17" t="s">
        <v>369</v>
      </c>
      <c r="AK127" s="17" t="s">
        <v>370</v>
      </c>
      <c r="AL127" s="17"/>
      <c r="AM127" s="17"/>
      <c r="AN127" s="17"/>
      <c r="AO127" s="22"/>
      <c r="AP127" s="17" t="s">
        <v>125</v>
      </c>
      <c r="AQ127" s="17" t="s">
        <v>144</v>
      </c>
      <c r="AR127" s="42" t="s">
        <v>145</v>
      </c>
      <c r="AS127" s="50" t="s">
        <v>128</v>
      </c>
      <c r="AT127" s="50" t="s">
        <v>503</v>
      </c>
      <c r="AU127" s="35">
        <f t="shared" si="2"/>
        <v>1</v>
      </c>
      <c r="AV127" s="35">
        <f t="shared" si="3"/>
        <v>1900</v>
      </c>
    </row>
    <row r="128" spans="1:48" ht="37.5">
      <c r="A128" s="34">
        <v>36</v>
      </c>
      <c r="B128" s="17">
        <v>1000000000010590</v>
      </c>
      <c r="C128" s="18" t="s">
        <v>425</v>
      </c>
      <c r="D128" s="17"/>
      <c r="E128" s="17" t="s">
        <v>336</v>
      </c>
      <c r="F128" s="17" t="s">
        <v>337</v>
      </c>
      <c r="G128" s="17" t="s">
        <v>338</v>
      </c>
      <c r="H128" s="17"/>
      <c r="I128" s="18" t="s">
        <v>426</v>
      </c>
      <c r="J128" s="18"/>
      <c r="K128" s="17" t="s">
        <v>340</v>
      </c>
      <c r="L128" s="18" t="s">
        <v>376</v>
      </c>
      <c r="M128" s="17"/>
      <c r="N128" s="17"/>
      <c r="O128" s="20">
        <v>711669569478</v>
      </c>
      <c r="P128" s="20">
        <v>28771797426</v>
      </c>
      <c r="Q128" s="21">
        <v>740441366904</v>
      </c>
      <c r="R128" s="20">
        <v>69452789782</v>
      </c>
      <c r="S128" s="21">
        <v>809894156686</v>
      </c>
      <c r="T128" s="21">
        <v>240960726130</v>
      </c>
      <c r="U128" s="20">
        <v>260465451834</v>
      </c>
      <c r="V128" s="21">
        <v>549428704852</v>
      </c>
      <c r="W128" s="21">
        <v>317980708177</v>
      </c>
      <c r="X128" s="21">
        <v>237454200808</v>
      </c>
      <c r="Y128" s="22" t="s">
        <v>38</v>
      </c>
      <c r="Z128" s="21">
        <v>80526507369</v>
      </c>
      <c r="AA128" s="21">
        <v>142333913896</v>
      </c>
      <c r="AB128" s="21">
        <v>72742621247</v>
      </c>
      <c r="AC128" s="21">
        <v>69591292649</v>
      </c>
      <c r="AD128" s="22"/>
      <c r="AE128" s="17" t="s">
        <v>341</v>
      </c>
      <c r="AF128" s="17" t="s">
        <v>342</v>
      </c>
      <c r="AG128" s="17" t="s">
        <v>304</v>
      </c>
      <c r="AH128" s="17" t="s">
        <v>58</v>
      </c>
      <c r="AI128" s="17"/>
      <c r="AJ128" s="17" t="s">
        <v>369</v>
      </c>
      <c r="AK128" s="17" t="s">
        <v>427</v>
      </c>
      <c r="AL128" s="17"/>
      <c r="AM128" s="17"/>
      <c r="AN128" s="19">
        <v>46477</v>
      </c>
      <c r="AO128" s="22"/>
      <c r="AP128" s="17" t="s">
        <v>125</v>
      </c>
      <c r="AQ128" s="17" t="s">
        <v>144</v>
      </c>
      <c r="AR128" s="42" t="s">
        <v>149</v>
      </c>
      <c r="AS128" s="50" t="s">
        <v>128</v>
      </c>
      <c r="AT128" s="50" t="s">
        <v>503</v>
      </c>
      <c r="AU128" s="35">
        <f t="shared" si="2"/>
        <v>1</v>
      </c>
      <c r="AV128" s="35">
        <f t="shared" si="3"/>
        <v>1900</v>
      </c>
    </row>
    <row r="129" spans="1:48" ht="37.5">
      <c r="A129" s="34">
        <v>37</v>
      </c>
      <c r="B129" s="17">
        <v>1000000000010590</v>
      </c>
      <c r="C129" s="18" t="s">
        <v>428</v>
      </c>
      <c r="D129" s="17"/>
      <c r="E129" s="17" t="s">
        <v>336</v>
      </c>
      <c r="F129" s="17" t="s">
        <v>337</v>
      </c>
      <c r="G129" s="17" t="s">
        <v>338</v>
      </c>
      <c r="H129" s="17"/>
      <c r="I129" s="18" t="s">
        <v>429</v>
      </c>
      <c r="J129" s="18"/>
      <c r="K129" s="17" t="s">
        <v>340</v>
      </c>
      <c r="L129" s="18" t="s">
        <v>376</v>
      </c>
      <c r="M129" s="17"/>
      <c r="N129" s="17"/>
      <c r="O129" s="20">
        <v>720309982140</v>
      </c>
      <c r="P129" s="20">
        <v>-655189970111</v>
      </c>
      <c r="Q129" s="21">
        <v>65120012029</v>
      </c>
      <c r="R129" s="20">
        <v>5251622083</v>
      </c>
      <c r="S129" s="21">
        <v>70371634112</v>
      </c>
      <c r="T129" s="21">
        <v>65120012029</v>
      </c>
      <c r="U129" s="20">
        <v>70371634112</v>
      </c>
      <c r="V129" s="22" t="s">
        <v>38</v>
      </c>
      <c r="W129" s="21">
        <v>189130804796</v>
      </c>
      <c r="X129" s="21">
        <v>148401963923</v>
      </c>
      <c r="Y129" s="22" t="s">
        <v>38</v>
      </c>
      <c r="Z129" s="21">
        <v>40728840873</v>
      </c>
      <c r="AA129" s="21">
        <v>144061996428</v>
      </c>
      <c r="AB129" s="21">
        <v>13440936268</v>
      </c>
      <c r="AC129" s="21">
        <v>130621060160</v>
      </c>
      <c r="AD129" s="22"/>
      <c r="AE129" s="17" t="s">
        <v>341</v>
      </c>
      <c r="AF129" s="17" t="s">
        <v>342</v>
      </c>
      <c r="AG129" s="17" t="s">
        <v>40</v>
      </c>
      <c r="AH129" s="17" t="s">
        <v>88</v>
      </c>
      <c r="AI129" s="17"/>
      <c r="AJ129" s="17"/>
      <c r="AK129" s="17"/>
      <c r="AL129" s="17"/>
      <c r="AM129" s="17"/>
      <c r="AN129" s="17"/>
      <c r="AO129" s="22"/>
      <c r="AP129" s="17" t="s">
        <v>125</v>
      </c>
      <c r="AQ129" s="17"/>
      <c r="AR129" s="17" t="s">
        <v>88</v>
      </c>
      <c r="AS129" s="45"/>
      <c r="AT129" s="50" t="s">
        <v>503</v>
      </c>
      <c r="AU129" s="35">
        <f t="shared" si="2"/>
        <v>1</v>
      </c>
      <c r="AV129" s="35">
        <f t="shared" si="3"/>
        <v>1900</v>
      </c>
    </row>
    <row r="130" spans="1:48" ht="37.5">
      <c r="A130" s="34">
        <v>38</v>
      </c>
      <c r="B130" s="17">
        <v>1000000000010870</v>
      </c>
      <c r="C130" s="18" t="s">
        <v>430</v>
      </c>
      <c r="D130" s="17"/>
      <c r="E130" s="17" t="s">
        <v>336</v>
      </c>
      <c r="F130" s="17" t="s">
        <v>337</v>
      </c>
      <c r="G130" s="17" t="s">
        <v>338</v>
      </c>
      <c r="H130" s="17"/>
      <c r="I130" s="18" t="s">
        <v>431</v>
      </c>
      <c r="J130" s="18"/>
      <c r="K130" s="17" t="s">
        <v>340</v>
      </c>
      <c r="L130" s="18" t="s">
        <v>68</v>
      </c>
      <c r="M130" s="17"/>
      <c r="N130" s="17"/>
      <c r="O130" s="20">
        <v>275337488027</v>
      </c>
      <c r="P130" s="20">
        <v>23542487455</v>
      </c>
      <c r="Q130" s="21">
        <v>298879975482</v>
      </c>
      <c r="R130" s="20">
        <v>27291712632</v>
      </c>
      <c r="S130" s="21">
        <v>326171688114</v>
      </c>
      <c r="T130" s="21">
        <v>115443214619</v>
      </c>
      <c r="U130" s="20">
        <v>124748464564</v>
      </c>
      <c r="V130" s="21">
        <v>201423223550</v>
      </c>
      <c r="W130" s="21">
        <v>121560766910</v>
      </c>
      <c r="X130" s="21">
        <v>83661176511</v>
      </c>
      <c r="Y130" s="22" t="s">
        <v>38</v>
      </c>
      <c r="Z130" s="21">
        <v>37899590399</v>
      </c>
      <c r="AA130" s="21">
        <v>56989013778</v>
      </c>
      <c r="AB130" s="21">
        <v>54389550700</v>
      </c>
      <c r="AC130" s="21">
        <v>2599463078</v>
      </c>
      <c r="AD130" s="22"/>
      <c r="AE130" s="17" t="s">
        <v>341</v>
      </c>
      <c r="AF130" s="17" t="s">
        <v>342</v>
      </c>
      <c r="AG130" s="17" t="s">
        <v>304</v>
      </c>
      <c r="AH130" s="17" t="s">
        <v>58</v>
      </c>
      <c r="AI130" s="17"/>
      <c r="AJ130" s="17" t="s">
        <v>369</v>
      </c>
      <c r="AK130" s="17" t="s">
        <v>364</v>
      </c>
      <c r="AL130" s="17"/>
      <c r="AM130" s="17"/>
      <c r="AN130" s="19">
        <v>46476</v>
      </c>
      <c r="AO130" s="22"/>
      <c r="AP130" s="17" t="s">
        <v>125</v>
      </c>
      <c r="AQ130" s="17" t="s">
        <v>144</v>
      </c>
      <c r="AR130" s="42" t="s">
        <v>149</v>
      </c>
      <c r="AS130" s="50" t="s">
        <v>128</v>
      </c>
      <c r="AT130" s="50" t="s">
        <v>503</v>
      </c>
      <c r="AU130" s="35">
        <f t="shared" si="2"/>
        <v>1</v>
      </c>
      <c r="AV130" s="35">
        <f t="shared" si="3"/>
        <v>1900</v>
      </c>
    </row>
    <row r="131" spans="1:48" ht="37.5">
      <c r="A131" s="34">
        <v>39</v>
      </c>
      <c r="B131" s="17">
        <v>1000000000010890</v>
      </c>
      <c r="C131" s="18" t="s">
        <v>432</v>
      </c>
      <c r="D131" s="17"/>
      <c r="E131" s="17" t="s">
        <v>336</v>
      </c>
      <c r="F131" s="17" t="s">
        <v>337</v>
      </c>
      <c r="G131" s="17" t="s">
        <v>338</v>
      </c>
      <c r="H131" s="17"/>
      <c r="I131" s="18" t="s">
        <v>433</v>
      </c>
      <c r="J131" s="18"/>
      <c r="K131" s="17" t="s">
        <v>340</v>
      </c>
      <c r="L131" s="18" t="s">
        <v>68</v>
      </c>
      <c r="M131" s="17"/>
      <c r="N131" s="17"/>
      <c r="O131" s="20">
        <v>36564907000</v>
      </c>
      <c r="P131" s="20">
        <v>3235303109</v>
      </c>
      <c r="Q131" s="21">
        <v>39800210109</v>
      </c>
      <c r="R131" s="20">
        <v>3225068091</v>
      </c>
      <c r="S131" s="21">
        <v>43025278200</v>
      </c>
      <c r="T131" s="21">
        <v>20116863499</v>
      </c>
      <c r="U131" s="20">
        <v>21726212579</v>
      </c>
      <c r="V131" s="21">
        <v>21299065621</v>
      </c>
      <c r="W131" s="21">
        <v>25371461036</v>
      </c>
      <c r="X131" s="21">
        <v>24637368376</v>
      </c>
      <c r="Y131" s="22" t="s">
        <v>38</v>
      </c>
      <c r="Z131" s="21">
        <v>734092660</v>
      </c>
      <c r="AA131" s="21">
        <v>11634049828</v>
      </c>
      <c r="AB131" s="21">
        <v>6982958196</v>
      </c>
      <c r="AC131" s="21">
        <v>4651091632</v>
      </c>
      <c r="AD131" s="22"/>
      <c r="AE131" s="17" t="s">
        <v>341</v>
      </c>
      <c r="AF131" s="17" t="s">
        <v>342</v>
      </c>
      <c r="AG131" s="17" t="s">
        <v>40</v>
      </c>
      <c r="AH131" s="17" t="s">
        <v>58</v>
      </c>
      <c r="AI131" s="17"/>
      <c r="AJ131" s="17" t="s">
        <v>359</v>
      </c>
      <c r="AK131" s="17"/>
      <c r="AL131" s="17"/>
      <c r="AM131" s="17"/>
      <c r="AN131" s="19">
        <v>46387</v>
      </c>
      <c r="AO131" s="22"/>
      <c r="AP131" s="17" t="s">
        <v>125</v>
      </c>
      <c r="AQ131" s="17" t="s">
        <v>132</v>
      </c>
      <c r="AR131" s="42" t="s">
        <v>140</v>
      </c>
      <c r="AS131" s="50" t="s">
        <v>128</v>
      </c>
      <c r="AT131" s="50" t="s">
        <v>503</v>
      </c>
      <c r="AU131" s="35">
        <f t="shared" si="2"/>
        <v>1</v>
      </c>
      <c r="AV131" s="35">
        <f t="shared" si="3"/>
        <v>1900</v>
      </c>
    </row>
    <row r="132" spans="1:48" ht="37.5">
      <c r="A132" s="34">
        <v>40</v>
      </c>
      <c r="B132" s="17">
        <v>1000000000010950</v>
      </c>
      <c r="C132" s="18" t="s">
        <v>434</v>
      </c>
      <c r="D132" s="17"/>
      <c r="E132" s="17" t="s">
        <v>336</v>
      </c>
      <c r="F132" s="17" t="s">
        <v>337</v>
      </c>
      <c r="G132" s="17" t="s">
        <v>338</v>
      </c>
      <c r="H132" s="17"/>
      <c r="I132" s="18" t="s">
        <v>435</v>
      </c>
      <c r="J132" s="18"/>
      <c r="K132" s="17" t="s">
        <v>340</v>
      </c>
      <c r="L132" s="18" t="s">
        <v>376</v>
      </c>
      <c r="M132" s="17"/>
      <c r="N132" s="17"/>
      <c r="O132" s="20">
        <v>343712156802</v>
      </c>
      <c r="P132" s="20">
        <v>8237807410</v>
      </c>
      <c r="Q132" s="21">
        <v>351949964212</v>
      </c>
      <c r="R132" s="20">
        <v>33682913408</v>
      </c>
      <c r="S132" s="21">
        <v>385632877620</v>
      </c>
      <c r="T132" s="21">
        <v>78770107652</v>
      </c>
      <c r="U132" s="20">
        <v>85135035404</v>
      </c>
      <c r="V132" s="21">
        <v>300497842216</v>
      </c>
      <c r="W132" s="21">
        <v>131651941471</v>
      </c>
      <c r="X132" s="21">
        <v>77744392753</v>
      </c>
      <c r="Y132" s="22" t="s">
        <v>38</v>
      </c>
      <c r="Z132" s="21">
        <v>53907548718</v>
      </c>
      <c r="AA132" s="21">
        <v>68742431360</v>
      </c>
      <c r="AB132" s="21">
        <v>18270019909</v>
      </c>
      <c r="AC132" s="21">
        <v>50472411451</v>
      </c>
      <c r="AD132" s="22"/>
      <c r="AE132" s="17" t="s">
        <v>341</v>
      </c>
      <c r="AF132" s="17" t="s">
        <v>342</v>
      </c>
      <c r="AG132" s="17" t="s">
        <v>40</v>
      </c>
      <c r="AH132" s="17" t="s">
        <v>69</v>
      </c>
      <c r="AI132" s="17"/>
      <c r="AJ132" s="17" t="s">
        <v>400</v>
      </c>
      <c r="AK132" s="17" t="s">
        <v>427</v>
      </c>
      <c r="AL132" s="17"/>
      <c r="AM132" s="17"/>
      <c r="AN132" s="19">
        <v>46477</v>
      </c>
      <c r="AO132" s="22"/>
      <c r="AP132" s="17" t="s">
        <v>125</v>
      </c>
      <c r="AQ132" s="17" t="s">
        <v>144</v>
      </c>
      <c r="AR132" s="42" t="s">
        <v>149</v>
      </c>
      <c r="AS132" s="50" t="s">
        <v>128</v>
      </c>
      <c r="AT132" s="50" t="s">
        <v>503</v>
      </c>
      <c r="AU132" s="35">
        <f t="shared" si="2"/>
        <v>1</v>
      </c>
      <c r="AV132" s="35">
        <f t="shared" si="3"/>
        <v>1900</v>
      </c>
    </row>
    <row r="133" spans="1:48" ht="37.5">
      <c r="A133" s="34">
        <v>41</v>
      </c>
      <c r="B133" s="17">
        <v>1000000000011150</v>
      </c>
      <c r="C133" s="18" t="s">
        <v>436</v>
      </c>
      <c r="D133" s="17"/>
      <c r="E133" s="17" t="s">
        <v>336</v>
      </c>
      <c r="F133" s="17" t="s">
        <v>337</v>
      </c>
      <c r="G133" s="17" t="s">
        <v>338</v>
      </c>
      <c r="H133" s="17"/>
      <c r="I133" s="18" t="s">
        <v>437</v>
      </c>
      <c r="J133" s="18"/>
      <c r="K133" s="17" t="s">
        <v>340</v>
      </c>
      <c r="L133" s="18" t="s">
        <v>376</v>
      </c>
      <c r="M133" s="17"/>
      <c r="N133" s="17"/>
      <c r="O133" s="20">
        <v>13260710278</v>
      </c>
      <c r="P133" s="23" t="s">
        <v>38</v>
      </c>
      <c r="Q133" s="21">
        <v>13260710278</v>
      </c>
      <c r="R133" s="20">
        <v>1326071028</v>
      </c>
      <c r="S133" s="21">
        <v>14586781306</v>
      </c>
      <c r="T133" s="21">
        <v>181087696</v>
      </c>
      <c r="U133" s="20">
        <v>199196466</v>
      </c>
      <c r="V133" s="21">
        <v>14387584840</v>
      </c>
      <c r="W133" s="21">
        <v>1486786358</v>
      </c>
      <c r="X133" s="21">
        <v>1486786358</v>
      </c>
      <c r="Y133" s="22" t="s">
        <v>38</v>
      </c>
      <c r="Z133" s="22" t="s">
        <v>38</v>
      </c>
      <c r="AA133" s="21">
        <v>1326071028</v>
      </c>
      <c r="AB133" s="21">
        <v>20372366</v>
      </c>
      <c r="AC133" s="21">
        <v>1305698662</v>
      </c>
      <c r="AD133" s="22"/>
      <c r="AE133" s="17" t="s">
        <v>407</v>
      </c>
      <c r="AF133" s="17" t="s">
        <v>408</v>
      </c>
      <c r="AG133" s="17" t="s">
        <v>50</v>
      </c>
      <c r="AH133" s="17" t="s">
        <v>58</v>
      </c>
      <c r="AI133" s="17"/>
      <c r="AJ133" s="17" t="s">
        <v>359</v>
      </c>
      <c r="AK133" s="17"/>
      <c r="AL133" s="17"/>
      <c r="AM133" s="17"/>
      <c r="AN133" s="17"/>
      <c r="AO133" s="22"/>
      <c r="AP133" s="17" t="s">
        <v>125</v>
      </c>
      <c r="AQ133" s="17" t="s">
        <v>132</v>
      </c>
      <c r="AR133" s="42" t="s">
        <v>145</v>
      </c>
      <c r="AS133" s="50" t="s">
        <v>128</v>
      </c>
      <c r="AT133" s="50" t="s">
        <v>503</v>
      </c>
      <c r="AU133" s="35">
        <f t="shared" si="2"/>
        <v>1</v>
      </c>
      <c r="AV133" s="35">
        <f t="shared" si="3"/>
        <v>1900</v>
      </c>
    </row>
    <row r="134" spans="1:48" ht="37.5">
      <c r="A134" s="34">
        <v>42</v>
      </c>
      <c r="B134" s="17">
        <v>1000000000011240</v>
      </c>
      <c r="C134" s="18" t="s">
        <v>438</v>
      </c>
      <c r="D134" s="17"/>
      <c r="E134" s="17" t="s">
        <v>336</v>
      </c>
      <c r="F134" s="17" t="s">
        <v>337</v>
      </c>
      <c r="G134" s="17" t="s">
        <v>338</v>
      </c>
      <c r="H134" s="17"/>
      <c r="I134" s="18" t="s">
        <v>439</v>
      </c>
      <c r="J134" s="18"/>
      <c r="K134" s="17" t="s">
        <v>340</v>
      </c>
      <c r="L134" s="18" t="s">
        <v>376</v>
      </c>
      <c r="M134" s="17"/>
      <c r="N134" s="17"/>
      <c r="O134" s="20">
        <v>340139709091</v>
      </c>
      <c r="P134" s="20">
        <v>-232877192398</v>
      </c>
      <c r="Q134" s="21">
        <v>107262516693</v>
      </c>
      <c r="R134" s="20">
        <v>8706452342</v>
      </c>
      <c r="S134" s="21">
        <v>115968969035</v>
      </c>
      <c r="T134" s="21">
        <v>107262516693</v>
      </c>
      <c r="U134" s="20">
        <v>115968969035</v>
      </c>
      <c r="V134" s="22" t="s">
        <v>38</v>
      </c>
      <c r="W134" s="21">
        <v>115968969035</v>
      </c>
      <c r="X134" s="21">
        <v>112664121877</v>
      </c>
      <c r="Y134" s="22" t="s">
        <v>38</v>
      </c>
      <c r="Z134" s="21">
        <v>3304847158</v>
      </c>
      <c r="AA134" s="21">
        <v>33023272727</v>
      </c>
      <c r="AB134" s="21">
        <v>33023272727</v>
      </c>
      <c r="AC134" s="22" t="s">
        <v>38</v>
      </c>
      <c r="AD134" s="22"/>
      <c r="AE134" s="17" t="s">
        <v>341</v>
      </c>
      <c r="AF134" s="17" t="s">
        <v>342</v>
      </c>
      <c r="AG134" s="17" t="s">
        <v>40</v>
      </c>
      <c r="AH134" s="17" t="s">
        <v>88</v>
      </c>
      <c r="AI134" s="17"/>
      <c r="AJ134" s="17"/>
      <c r="AK134" s="17" t="s">
        <v>386</v>
      </c>
      <c r="AL134" s="17"/>
      <c r="AM134" s="17"/>
      <c r="AN134" s="17"/>
      <c r="AO134" s="22"/>
      <c r="AP134" s="17" t="s">
        <v>125</v>
      </c>
      <c r="AQ134" s="17"/>
      <c r="AR134" s="17" t="s">
        <v>88</v>
      </c>
      <c r="AS134" s="45"/>
      <c r="AT134" s="50" t="s">
        <v>503</v>
      </c>
      <c r="AU134" s="35">
        <f t="shared" ref="AU134:AU157" si="4">IF(AT134&lt;&gt;"",1,0)</f>
        <v>1</v>
      </c>
      <c r="AV134" s="35">
        <f t="shared" ref="AV134:AV157" si="5">YEAR(AO134)</f>
        <v>1900</v>
      </c>
    </row>
    <row r="135" spans="1:48" ht="37.5">
      <c r="A135" s="34">
        <v>43</v>
      </c>
      <c r="B135" s="17">
        <v>1000000000011350</v>
      </c>
      <c r="C135" s="18" t="s">
        <v>440</v>
      </c>
      <c r="D135" s="17"/>
      <c r="E135" s="17" t="s">
        <v>336</v>
      </c>
      <c r="F135" s="17" t="s">
        <v>337</v>
      </c>
      <c r="G135" s="17" t="s">
        <v>338</v>
      </c>
      <c r="H135" s="17"/>
      <c r="I135" s="18" t="s">
        <v>441</v>
      </c>
      <c r="J135" s="18"/>
      <c r="K135" s="17" t="s">
        <v>340</v>
      </c>
      <c r="L135" s="18" t="s">
        <v>376</v>
      </c>
      <c r="M135" s="17"/>
      <c r="N135" s="17"/>
      <c r="O135" s="20">
        <v>42214484726</v>
      </c>
      <c r="P135" s="23" t="s">
        <v>38</v>
      </c>
      <c r="Q135" s="21">
        <v>42214484726</v>
      </c>
      <c r="R135" s="20">
        <v>4221448473</v>
      </c>
      <c r="S135" s="21">
        <v>46435933199</v>
      </c>
      <c r="T135" s="22" t="s">
        <v>38</v>
      </c>
      <c r="U135" s="23" t="s">
        <v>38</v>
      </c>
      <c r="V135" s="21">
        <v>46435933199</v>
      </c>
      <c r="W135" s="21">
        <v>4221448473</v>
      </c>
      <c r="X135" s="21">
        <v>4221448473</v>
      </c>
      <c r="Y135" s="22" t="s">
        <v>38</v>
      </c>
      <c r="Z135" s="22" t="s">
        <v>38</v>
      </c>
      <c r="AA135" s="21">
        <v>4221448473</v>
      </c>
      <c r="AB135" s="22" t="s">
        <v>38</v>
      </c>
      <c r="AC135" s="21">
        <v>4221448473</v>
      </c>
      <c r="AD135" s="22"/>
      <c r="AE135" s="17" t="s">
        <v>341</v>
      </c>
      <c r="AF135" s="17" t="s">
        <v>342</v>
      </c>
      <c r="AG135" s="17" t="s">
        <v>40</v>
      </c>
      <c r="AH135" s="17" t="s">
        <v>58</v>
      </c>
      <c r="AI135" s="17"/>
      <c r="AJ135" s="17" t="s">
        <v>369</v>
      </c>
      <c r="AK135" s="17"/>
      <c r="AL135" s="17"/>
      <c r="AM135" s="17"/>
      <c r="AN135" s="17"/>
      <c r="AO135" s="22"/>
      <c r="AP135" s="17" t="s">
        <v>125</v>
      </c>
      <c r="AQ135" s="17" t="s">
        <v>132</v>
      </c>
      <c r="AR135" s="42" t="s">
        <v>145</v>
      </c>
      <c r="AS135" s="50" t="s">
        <v>128</v>
      </c>
      <c r="AT135" s="50" t="s">
        <v>503</v>
      </c>
      <c r="AU135" s="35">
        <f t="shared" si="4"/>
        <v>1</v>
      </c>
      <c r="AV135" s="35">
        <f t="shared" si="5"/>
        <v>1900</v>
      </c>
    </row>
    <row r="136" spans="1:48" ht="37.5">
      <c r="A136" s="34">
        <v>44</v>
      </c>
      <c r="B136" s="17">
        <v>1000000000011350</v>
      </c>
      <c r="C136" s="18" t="s">
        <v>442</v>
      </c>
      <c r="D136" s="17"/>
      <c r="E136" s="17" t="s">
        <v>336</v>
      </c>
      <c r="F136" s="17" t="s">
        <v>337</v>
      </c>
      <c r="G136" s="17" t="s">
        <v>338</v>
      </c>
      <c r="H136" s="17"/>
      <c r="I136" s="18" t="s">
        <v>443</v>
      </c>
      <c r="J136" s="18"/>
      <c r="K136" s="17" t="s">
        <v>340</v>
      </c>
      <c r="L136" s="18" t="s">
        <v>376</v>
      </c>
      <c r="M136" s="17"/>
      <c r="N136" s="17"/>
      <c r="O136" s="20">
        <v>44737323340</v>
      </c>
      <c r="P136" s="23" t="s">
        <v>38</v>
      </c>
      <c r="Q136" s="21">
        <v>44737323340</v>
      </c>
      <c r="R136" s="20">
        <v>4473732334</v>
      </c>
      <c r="S136" s="21">
        <v>49211055674</v>
      </c>
      <c r="T136" s="22" t="s">
        <v>38</v>
      </c>
      <c r="U136" s="23" t="s">
        <v>38</v>
      </c>
      <c r="V136" s="21">
        <v>49211055674</v>
      </c>
      <c r="W136" s="21">
        <v>4473732334</v>
      </c>
      <c r="X136" s="21">
        <v>4473732334</v>
      </c>
      <c r="Y136" s="22" t="s">
        <v>38</v>
      </c>
      <c r="Z136" s="22" t="s">
        <v>38</v>
      </c>
      <c r="AA136" s="21">
        <v>4473732334</v>
      </c>
      <c r="AB136" s="22" t="s">
        <v>38</v>
      </c>
      <c r="AC136" s="21">
        <v>4473732334</v>
      </c>
      <c r="AD136" s="22"/>
      <c r="AE136" s="17" t="s">
        <v>341</v>
      </c>
      <c r="AF136" s="17" t="s">
        <v>342</v>
      </c>
      <c r="AG136" s="17" t="s">
        <v>40</v>
      </c>
      <c r="AH136" s="17" t="s">
        <v>58</v>
      </c>
      <c r="AI136" s="17"/>
      <c r="AJ136" s="17" t="s">
        <v>369</v>
      </c>
      <c r="AK136" s="17"/>
      <c r="AL136" s="17"/>
      <c r="AM136" s="17"/>
      <c r="AN136" s="17"/>
      <c r="AO136" s="22"/>
      <c r="AP136" s="17" t="s">
        <v>125</v>
      </c>
      <c r="AQ136" s="17" t="s">
        <v>132</v>
      </c>
      <c r="AR136" s="17" t="s">
        <v>444</v>
      </c>
      <c r="AS136" s="46"/>
      <c r="AT136" s="50" t="s">
        <v>503</v>
      </c>
      <c r="AU136" s="35">
        <f t="shared" si="4"/>
        <v>1</v>
      </c>
      <c r="AV136" s="35">
        <f t="shared" si="5"/>
        <v>1900</v>
      </c>
    </row>
    <row r="137" spans="1:48" ht="37.5">
      <c r="A137" s="34">
        <v>45</v>
      </c>
      <c r="B137" s="17">
        <v>1000000000011360</v>
      </c>
      <c r="C137" s="18" t="s">
        <v>445</v>
      </c>
      <c r="D137" s="17"/>
      <c r="E137" s="17" t="s">
        <v>336</v>
      </c>
      <c r="F137" s="17" t="s">
        <v>337</v>
      </c>
      <c r="G137" s="17" t="s">
        <v>338</v>
      </c>
      <c r="H137" s="17"/>
      <c r="I137" s="18" t="s">
        <v>446</v>
      </c>
      <c r="J137" s="18"/>
      <c r="K137" s="17" t="s">
        <v>340</v>
      </c>
      <c r="L137" s="18" t="s">
        <v>376</v>
      </c>
      <c r="M137" s="17"/>
      <c r="N137" s="17"/>
      <c r="O137" s="20">
        <v>63676702000</v>
      </c>
      <c r="P137" s="23" t="s">
        <v>38</v>
      </c>
      <c r="Q137" s="21">
        <v>63676702000</v>
      </c>
      <c r="R137" s="20">
        <v>6367670200</v>
      </c>
      <c r="S137" s="21">
        <v>70044372200</v>
      </c>
      <c r="T137" s="22" t="s">
        <v>38</v>
      </c>
      <c r="U137" s="23" t="s">
        <v>38</v>
      </c>
      <c r="V137" s="21">
        <v>70044372200</v>
      </c>
      <c r="W137" s="21">
        <v>6367670200</v>
      </c>
      <c r="X137" s="21">
        <v>6367670200</v>
      </c>
      <c r="Y137" s="22" t="s">
        <v>38</v>
      </c>
      <c r="Z137" s="22" t="s">
        <v>38</v>
      </c>
      <c r="AA137" s="21">
        <v>6367670200</v>
      </c>
      <c r="AB137" s="22" t="s">
        <v>38</v>
      </c>
      <c r="AC137" s="21">
        <v>6367670200</v>
      </c>
      <c r="AD137" s="22"/>
      <c r="AE137" s="17" t="s">
        <v>341</v>
      </c>
      <c r="AF137" s="17" t="s">
        <v>342</v>
      </c>
      <c r="AG137" s="17" t="s">
        <v>40</v>
      </c>
      <c r="AH137" s="17" t="s">
        <v>58</v>
      </c>
      <c r="AI137" s="17"/>
      <c r="AJ137" s="17" t="s">
        <v>369</v>
      </c>
      <c r="AK137" s="17"/>
      <c r="AL137" s="17"/>
      <c r="AM137" s="17"/>
      <c r="AN137" s="17"/>
      <c r="AO137" s="22"/>
      <c r="AP137" s="17" t="s">
        <v>125</v>
      </c>
      <c r="AQ137" s="17" t="s">
        <v>132</v>
      </c>
      <c r="AR137" s="17" t="s">
        <v>444</v>
      </c>
      <c r="AS137" s="17"/>
      <c r="AT137" s="50" t="s">
        <v>503</v>
      </c>
      <c r="AU137" s="35">
        <f t="shared" si="4"/>
        <v>1</v>
      </c>
      <c r="AV137" s="35">
        <f t="shared" si="5"/>
        <v>1900</v>
      </c>
    </row>
    <row r="138" spans="1:48" ht="37.5">
      <c r="A138" s="34">
        <v>46</v>
      </c>
      <c r="B138" s="17">
        <v>1000000000011510</v>
      </c>
      <c r="C138" s="18" t="s">
        <v>447</v>
      </c>
      <c r="D138" s="17"/>
      <c r="E138" s="17" t="s">
        <v>336</v>
      </c>
      <c r="F138" s="17" t="s">
        <v>337</v>
      </c>
      <c r="G138" s="17" t="s">
        <v>338</v>
      </c>
      <c r="H138" s="17"/>
      <c r="I138" s="18" t="s">
        <v>448</v>
      </c>
      <c r="J138" s="18"/>
      <c r="K138" s="17" t="s">
        <v>340</v>
      </c>
      <c r="L138" s="18" t="s">
        <v>176</v>
      </c>
      <c r="M138" s="17"/>
      <c r="N138" s="17"/>
      <c r="O138" s="20">
        <v>37941676852</v>
      </c>
      <c r="P138" s="20">
        <v>10698838943</v>
      </c>
      <c r="Q138" s="21">
        <v>48640515795</v>
      </c>
      <c r="R138" s="20">
        <v>4859770501</v>
      </c>
      <c r="S138" s="21">
        <v>53500286296</v>
      </c>
      <c r="T138" s="21">
        <v>51001705882</v>
      </c>
      <c r="U138" s="20">
        <v>55861476383</v>
      </c>
      <c r="V138" s="21">
        <v>-2361190087</v>
      </c>
      <c r="W138" s="21">
        <v>53496296146</v>
      </c>
      <c r="X138" s="21">
        <v>7218297229</v>
      </c>
      <c r="Y138" s="22" t="s">
        <v>38</v>
      </c>
      <c r="Z138" s="21">
        <v>46277998917</v>
      </c>
      <c r="AA138" s="21">
        <v>3683657947</v>
      </c>
      <c r="AB138" s="21">
        <v>3683657947</v>
      </c>
      <c r="AC138" s="22" t="s">
        <v>38</v>
      </c>
      <c r="AD138" s="22"/>
      <c r="AE138" s="17" t="s">
        <v>341</v>
      </c>
      <c r="AF138" s="17" t="s">
        <v>342</v>
      </c>
      <c r="AG138" s="17" t="s">
        <v>40</v>
      </c>
      <c r="AH138" s="17" t="s">
        <v>88</v>
      </c>
      <c r="AI138" s="17"/>
      <c r="AJ138" s="17" t="s">
        <v>449</v>
      </c>
      <c r="AK138" s="17"/>
      <c r="AL138" s="17"/>
      <c r="AM138" s="17"/>
      <c r="AN138" s="17"/>
      <c r="AO138" s="22"/>
      <c r="AP138" s="17" t="s">
        <v>125</v>
      </c>
      <c r="AQ138" s="17" t="s">
        <v>132</v>
      </c>
      <c r="AR138" s="17" t="s">
        <v>88</v>
      </c>
      <c r="AS138" s="44"/>
      <c r="AT138" s="50" t="s">
        <v>503</v>
      </c>
      <c r="AU138" s="35">
        <f t="shared" si="4"/>
        <v>1</v>
      </c>
      <c r="AV138" s="35">
        <f t="shared" si="5"/>
        <v>1900</v>
      </c>
    </row>
    <row r="139" spans="1:48" ht="37.5">
      <c r="A139" s="34">
        <v>47</v>
      </c>
      <c r="B139" s="17">
        <v>1000000000011530</v>
      </c>
      <c r="C139" s="18" t="s">
        <v>450</v>
      </c>
      <c r="D139" s="17"/>
      <c r="E139" s="17" t="s">
        <v>336</v>
      </c>
      <c r="F139" s="17" t="s">
        <v>337</v>
      </c>
      <c r="G139" s="17" t="s">
        <v>338</v>
      </c>
      <c r="H139" s="17"/>
      <c r="I139" s="18" t="s">
        <v>451</v>
      </c>
      <c r="J139" s="18"/>
      <c r="K139" s="17" t="s">
        <v>340</v>
      </c>
      <c r="L139" s="18" t="s">
        <v>381</v>
      </c>
      <c r="M139" s="17"/>
      <c r="N139" s="17"/>
      <c r="O139" s="20">
        <v>28406780056</v>
      </c>
      <c r="P139" s="20">
        <v>-4110016220</v>
      </c>
      <c r="Q139" s="21">
        <v>24296763836</v>
      </c>
      <c r="R139" s="20">
        <v>1977683277</v>
      </c>
      <c r="S139" s="21">
        <v>26274447113</v>
      </c>
      <c r="T139" s="21">
        <v>24169245486</v>
      </c>
      <c r="U139" s="20">
        <v>26136727296</v>
      </c>
      <c r="V139" s="21">
        <v>137719817</v>
      </c>
      <c r="W139" s="21">
        <v>24926265022</v>
      </c>
      <c r="X139" s="21">
        <v>24131316852</v>
      </c>
      <c r="Y139" s="22" t="s">
        <v>38</v>
      </c>
      <c r="Z139" s="21">
        <v>794948170</v>
      </c>
      <c r="AA139" s="22" t="s">
        <v>38</v>
      </c>
      <c r="AB139" s="22" t="s">
        <v>38</v>
      </c>
      <c r="AC139" s="22" t="s">
        <v>38</v>
      </c>
      <c r="AD139" s="22"/>
      <c r="AE139" s="17" t="s">
        <v>341</v>
      </c>
      <c r="AF139" s="17" t="s">
        <v>342</v>
      </c>
      <c r="AG139" s="17" t="s">
        <v>40</v>
      </c>
      <c r="AH139" s="17" t="s">
        <v>58</v>
      </c>
      <c r="AI139" s="17"/>
      <c r="AJ139" s="17" t="s">
        <v>359</v>
      </c>
      <c r="AK139" s="17" t="s">
        <v>364</v>
      </c>
      <c r="AL139" s="17"/>
      <c r="AM139" s="17"/>
      <c r="AN139" s="19">
        <v>46356</v>
      </c>
      <c r="AO139" s="22"/>
      <c r="AP139" s="17" t="s">
        <v>125</v>
      </c>
      <c r="AQ139" s="17" t="s">
        <v>144</v>
      </c>
      <c r="AR139" s="42" t="s">
        <v>140</v>
      </c>
      <c r="AS139" s="50" t="s">
        <v>128</v>
      </c>
      <c r="AT139" s="50" t="s">
        <v>503</v>
      </c>
      <c r="AU139" s="35">
        <f t="shared" si="4"/>
        <v>1</v>
      </c>
      <c r="AV139" s="35">
        <f t="shared" si="5"/>
        <v>1900</v>
      </c>
    </row>
    <row r="140" spans="1:48" ht="37.5">
      <c r="A140" s="34">
        <v>48</v>
      </c>
      <c r="B140" s="17">
        <v>1000000000011600</v>
      </c>
      <c r="C140" s="18" t="s">
        <v>452</v>
      </c>
      <c r="D140" s="17"/>
      <c r="E140" s="17" t="s">
        <v>336</v>
      </c>
      <c r="F140" s="17" t="s">
        <v>337</v>
      </c>
      <c r="G140" s="17" t="s">
        <v>338</v>
      </c>
      <c r="H140" s="17"/>
      <c r="I140" s="18" t="s">
        <v>453</v>
      </c>
      <c r="J140" s="18"/>
      <c r="K140" s="17" t="s">
        <v>340</v>
      </c>
      <c r="L140" s="18" t="s">
        <v>454</v>
      </c>
      <c r="M140" s="17"/>
      <c r="N140" s="17"/>
      <c r="O140" s="20">
        <v>22757222400</v>
      </c>
      <c r="P140" s="20">
        <v>-13934720300</v>
      </c>
      <c r="Q140" s="21">
        <v>8822502100</v>
      </c>
      <c r="R140" s="20">
        <v>705800168</v>
      </c>
      <c r="S140" s="21">
        <v>9528302268</v>
      </c>
      <c r="T140" s="21">
        <v>8822502100</v>
      </c>
      <c r="U140" s="20">
        <v>9528302268</v>
      </c>
      <c r="V140" s="22" t="s">
        <v>38</v>
      </c>
      <c r="W140" s="21">
        <v>9528302268</v>
      </c>
      <c r="X140" s="21">
        <v>9087177163</v>
      </c>
      <c r="Y140" s="22" t="s">
        <v>38</v>
      </c>
      <c r="Z140" s="21">
        <v>441125105</v>
      </c>
      <c r="AA140" s="22" t="s">
        <v>38</v>
      </c>
      <c r="AB140" s="22" t="s">
        <v>38</v>
      </c>
      <c r="AC140" s="22" t="s">
        <v>38</v>
      </c>
      <c r="AD140" s="22"/>
      <c r="AE140" s="17" t="s">
        <v>341</v>
      </c>
      <c r="AF140" s="17" t="s">
        <v>342</v>
      </c>
      <c r="AG140" s="17" t="s">
        <v>40</v>
      </c>
      <c r="AH140" s="17" t="s">
        <v>88</v>
      </c>
      <c r="AI140" s="17"/>
      <c r="AJ140" s="17"/>
      <c r="AK140" s="17"/>
      <c r="AL140" s="17"/>
      <c r="AM140" s="17"/>
      <c r="AN140" s="17"/>
      <c r="AO140" s="22"/>
      <c r="AP140" s="17" t="s">
        <v>125</v>
      </c>
      <c r="AQ140" s="17"/>
      <c r="AR140" s="17" t="s">
        <v>88</v>
      </c>
      <c r="AS140" s="46"/>
      <c r="AT140" s="50" t="s">
        <v>503</v>
      </c>
      <c r="AU140" s="35">
        <f t="shared" si="4"/>
        <v>1</v>
      </c>
      <c r="AV140" s="35">
        <f t="shared" si="5"/>
        <v>1900</v>
      </c>
    </row>
    <row r="141" spans="1:48" ht="37.5">
      <c r="A141" s="34">
        <v>49</v>
      </c>
      <c r="B141" s="17">
        <v>1000000000011930</v>
      </c>
      <c r="C141" s="18" t="s">
        <v>455</v>
      </c>
      <c r="D141" s="17"/>
      <c r="E141" s="17" t="s">
        <v>336</v>
      </c>
      <c r="F141" s="17" t="s">
        <v>337</v>
      </c>
      <c r="G141" s="17" t="s">
        <v>338</v>
      </c>
      <c r="H141" s="17"/>
      <c r="I141" s="18" t="s">
        <v>456</v>
      </c>
      <c r="J141" s="18"/>
      <c r="K141" s="17" t="s">
        <v>340</v>
      </c>
      <c r="L141" s="18" t="s">
        <v>73</v>
      </c>
      <c r="M141" s="17"/>
      <c r="N141" s="17"/>
      <c r="O141" s="20">
        <v>662900069</v>
      </c>
      <c r="P141" s="20">
        <v>302117096</v>
      </c>
      <c r="Q141" s="21">
        <v>965017165</v>
      </c>
      <c r="R141" s="20">
        <v>77201373</v>
      </c>
      <c r="S141" s="21">
        <v>1042218538</v>
      </c>
      <c r="T141" s="21">
        <v>965017165</v>
      </c>
      <c r="U141" s="20">
        <v>1042218538</v>
      </c>
      <c r="V141" s="22" t="s">
        <v>38</v>
      </c>
      <c r="W141" s="21">
        <v>993967680</v>
      </c>
      <c r="X141" s="21">
        <v>464702034</v>
      </c>
      <c r="Y141" s="22" t="s">
        <v>38</v>
      </c>
      <c r="Z141" s="21">
        <v>529265646</v>
      </c>
      <c r="AA141" s="22" t="s">
        <v>38</v>
      </c>
      <c r="AB141" s="22" t="s">
        <v>38</v>
      </c>
      <c r="AC141" s="22" t="s">
        <v>38</v>
      </c>
      <c r="AD141" s="22"/>
      <c r="AE141" s="17" t="s">
        <v>341</v>
      </c>
      <c r="AF141" s="17" t="s">
        <v>342</v>
      </c>
      <c r="AG141" s="17" t="s">
        <v>40</v>
      </c>
      <c r="AH141" s="17" t="s">
        <v>88</v>
      </c>
      <c r="AI141" s="17"/>
      <c r="AJ141" s="17"/>
      <c r="AK141" s="17"/>
      <c r="AL141" s="17"/>
      <c r="AM141" s="17"/>
      <c r="AN141" s="17"/>
      <c r="AO141" s="22"/>
      <c r="AP141" s="17" t="s">
        <v>125</v>
      </c>
      <c r="AQ141" s="17"/>
      <c r="AR141" s="17" t="s">
        <v>88</v>
      </c>
      <c r="AS141" s="17"/>
      <c r="AT141" s="50" t="s">
        <v>503</v>
      </c>
      <c r="AU141" s="35">
        <f t="shared" si="4"/>
        <v>1</v>
      </c>
      <c r="AV141" s="35">
        <f t="shared" si="5"/>
        <v>1900</v>
      </c>
    </row>
    <row r="142" spans="1:48" ht="37.5">
      <c r="A142" s="34">
        <v>50</v>
      </c>
      <c r="B142" s="17">
        <v>1000000000011940</v>
      </c>
      <c r="C142" s="18" t="s">
        <v>457</v>
      </c>
      <c r="D142" s="17"/>
      <c r="E142" s="17" t="s">
        <v>336</v>
      </c>
      <c r="F142" s="17" t="s">
        <v>337</v>
      </c>
      <c r="G142" s="17" t="s">
        <v>338</v>
      </c>
      <c r="H142" s="17"/>
      <c r="I142" s="18" t="s">
        <v>458</v>
      </c>
      <c r="J142" s="18"/>
      <c r="K142" s="17" t="s">
        <v>340</v>
      </c>
      <c r="L142" s="18" t="s">
        <v>459</v>
      </c>
      <c r="M142" s="17"/>
      <c r="N142" s="17"/>
      <c r="O142" s="20">
        <v>18803002184</v>
      </c>
      <c r="P142" s="20">
        <v>-4928263819</v>
      </c>
      <c r="Q142" s="21">
        <v>13874738365</v>
      </c>
      <c r="R142" s="20">
        <v>1109979069</v>
      </c>
      <c r="S142" s="21">
        <v>14984717434</v>
      </c>
      <c r="T142" s="21">
        <v>13874738365</v>
      </c>
      <c r="U142" s="20">
        <v>14984717434</v>
      </c>
      <c r="V142" s="22" t="s">
        <v>38</v>
      </c>
      <c r="W142" s="21">
        <v>14984717434</v>
      </c>
      <c r="X142" s="22" t="s">
        <v>38</v>
      </c>
      <c r="Y142" s="22" t="s">
        <v>38</v>
      </c>
      <c r="Z142" s="21">
        <v>14984717434</v>
      </c>
      <c r="AA142" s="22" t="s">
        <v>38</v>
      </c>
      <c r="AB142" s="22" t="s">
        <v>38</v>
      </c>
      <c r="AC142" s="22" t="s">
        <v>38</v>
      </c>
      <c r="AD142" s="22"/>
      <c r="AE142" s="17" t="s">
        <v>341</v>
      </c>
      <c r="AF142" s="17" t="s">
        <v>342</v>
      </c>
      <c r="AG142" s="17" t="s">
        <v>40</v>
      </c>
      <c r="AH142" s="17" t="s">
        <v>88</v>
      </c>
      <c r="AI142" s="19">
        <v>46114</v>
      </c>
      <c r="AJ142" s="17"/>
      <c r="AK142" s="17" t="s">
        <v>364</v>
      </c>
      <c r="AL142" s="17"/>
      <c r="AM142" s="17"/>
      <c r="AN142" s="17"/>
      <c r="AO142" s="22"/>
      <c r="AP142" s="17" t="s">
        <v>125</v>
      </c>
      <c r="AQ142" s="17" t="s">
        <v>144</v>
      </c>
      <c r="AR142" s="17" t="s">
        <v>88</v>
      </c>
      <c r="AS142" s="17"/>
      <c r="AT142" s="50" t="s">
        <v>503</v>
      </c>
      <c r="AU142" s="35">
        <f t="shared" si="4"/>
        <v>1</v>
      </c>
      <c r="AV142" s="35">
        <f t="shared" si="5"/>
        <v>1900</v>
      </c>
    </row>
    <row r="143" spans="1:48" ht="37.5">
      <c r="A143" s="34">
        <v>51</v>
      </c>
      <c r="B143" s="17">
        <v>1000000000012680</v>
      </c>
      <c r="C143" s="18" t="s">
        <v>460</v>
      </c>
      <c r="D143" s="17"/>
      <c r="E143" s="17" t="s">
        <v>336</v>
      </c>
      <c r="F143" s="17" t="s">
        <v>337</v>
      </c>
      <c r="G143" s="17" t="s">
        <v>338</v>
      </c>
      <c r="H143" s="17"/>
      <c r="I143" s="18" t="s">
        <v>461</v>
      </c>
      <c r="J143" s="18"/>
      <c r="K143" s="17" t="s">
        <v>340</v>
      </c>
      <c r="L143" s="18" t="s">
        <v>462</v>
      </c>
      <c r="M143" s="17"/>
      <c r="N143" s="17"/>
      <c r="O143" s="20">
        <v>1094629100</v>
      </c>
      <c r="P143" s="20">
        <v>-1067601200</v>
      </c>
      <c r="Q143" s="21">
        <v>27027900</v>
      </c>
      <c r="R143" s="20">
        <v>2162232</v>
      </c>
      <c r="S143" s="21">
        <v>29190132</v>
      </c>
      <c r="T143" s="21">
        <v>27027900</v>
      </c>
      <c r="U143" s="20">
        <v>29190132</v>
      </c>
      <c r="V143" s="22" t="s">
        <v>38</v>
      </c>
      <c r="W143" s="21">
        <v>27838737</v>
      </c>
      <c r="X143" s="22" t="s">
        <v>38</v>
      </c>
      <c r="Y143" s="22" t="s">
        <v>38</v>
      </c>
      <c r="Z143" s="21">
        <v>27838737</v>
      </c>
      <c r="AA143" s="22" t="s">
        <v>38</v>
      </c>
      <c r="AB143" s="22" t="s">
        <v>38</v>
      </c>
      <c r="AC143" s="22" t="s">
        <v>38</v>
      </c>
      <c r="AD143" s="22"/>
      <c r="AE143" s="17" t="s">
        <v>407</v>
      </c>
      <c r="AF143" s="17" t="s">
        <v>408</v>
      </c>
      <c r="AG143" s="17" t="s">
        <v>40</v>
      </c>
      <c r="AH143" s="17" t="s">
        <v>88</v>
      </c>
      <c r="AI143" s="17"/>
      <c r="AJ143" s="17"/>
      <c r="AK143" s="17"/>
      <c r="AL143" s="17"/>
      <c r="AM143" s="17"/>
      <c r="AN143" s="17"/>
      <c r="AO143" s="22"/>
      <c r="AP143" s="17" t="s">
        <v>125</v>
      </c>
      <c r="AQ143" s="17" t="s">
        <v>126</v>
      </c>
      <c r="AR143" s="17" t="s">
        <v>88</v>
      </c>
      <c r="AS143" s="44"/>
      <c r="AT143" s="50" t="s">
        <v>503</v>
      </c>
      <c r="AU143" s="35">
        <f t="shared" si="4"/>
        <v>1</v>
      </c>
      <c r="AV143" s="35">
        <f t="shared" si="5"/>
        <v>1900</v>
      </c>
    </row>
    <row r="144" spans="1:48" ht="37.5">
      <c r="A144" s="34">
        <v>52</v>
      </c>
      <c r="B144" s="17">
        <v>1000000000012760</v>
      </c>
      <c r="C144" s="18" t="s">
        <v>463</v>
      </c>
      <c r="D144" s="17"/>
      <c r="E144" s="17" t="s">
        <v>336</v>
      </c>
      <c r="F144" s="17" t="s">
        <v>337</v>
      </c>
      <c r="G144" s="17" t="s">
        <v>338</v>
      </c>
      <c r="H144" s="17"/>
      <c r="I144" s="18" t="s">
        <v>464</v>
      </c>
      <c r="J144" s="18"/>
      <c r="K144" s="17" t="s">
        <v>340</v>
      </c>
      <c r="L144" s="18" t="s">
        <v>328</v>
      </c>
      <c r="M144" s="17"/>
      <c r="N144" s="17"/>
      <c r="O144" s="20">
        <v>4334000000</v>
      </c>
      <c r="P144" s="20">
        <v>752550000</v>
      </c>
      <c r="Q144" s="21">
        <v>5086550000</v>
      </c>
      <c r="R144" s="20">
        <v>406924000</v>
      </c>
      <c r="S144" s="21">
        <v>5493474000</v>
      </c>
      <c r="T144" s="21">
        <v>3943028848</v>
      </c>
      <c r="U144" s="20">
        <v>4258471156</v>
      </c>
      <c r="V144" s="21">
        <v>1235002844</v>
      </c>
      <c r="W144" s="21">
        <v>4258471156</v>
      </c>
      <c r="X144" s="21">
        <v>4258471156</v>
      </c>
      <c r="Y144" s="22" t="s">
        <v>38</v>
      </c>
      <c r="Z144" s="22" t="s">
        <v>38</v>
      </c>
      <c r="AA144" s="22" t="s">
        <v>38</v>
      </c>
      <c r="AB144" s="22" t="s">
        <v>38</v>
      </c>
      <c r="AC144" s="22" t="s">
        <v>38</v>
      </c>
      <c r="AD144" s="22"/>
      <c r="AE144" s="17" t="s">
        <v>341</v>
      </c>
      <c r="AF144" s="17" t="s">
        <v>342</v>
      </c>
      <c r="AG144" s="17" t="s">
        <v>40</v>
      </c>
      <c r="AH144" s="17" t="s">
        <v>58</v>
      </c>
      <c r="AI144" s="17"/>
      <c r="AJ144" s="17" t="s">
        <v>359</v>
      </c>
      <c r="AK144" s="17"/>
      <c r="AL144" s="17"/>
      <c r="AM144" s="17"/>
      <c r="AN144" s="17"/>
      <c r="AO144" s="22"/>
      <c r="AP144" s="17" t="s">
        <v>125</v>
      </c>
      <c r="AQ144" s="17" t="s">
        <v>132</v>
      </c>
      <c r="AR144" s="42" t="s">
        <v>145</v>
      </c>
      <c r="AS144" s="50" t="s">
        <v>128</v>
      </c>
      <c r="AT144" s="50" t="s">
        <v>503</v>
      </c>
      <c r="AU144" s="35">
        <f t="shared" si="4"/>
        <v>1</v>
      </c>
      <c r="AV144" s="35">
        <f t="shared" si="5"/>
        <v>1900</v>
      </c>
    </row>
    <row r="145" spans="1:48" ht="37.5">
      <c r="A145" s="34">
        <v>53</v>
      </c>
      <c r="B145" s="17">
        <v>1000000000013140</v>
      </c>
      <c r="C145" s="18" t="s">
        <v>465</v>
      </c>
      <c r="D145" s="17"/>
      <c r="E145" s="17" t="s">
        <v>336</v>
      </c>
      <c r="F145" s="17" t="s">
        <v>337</v>
      </c>
      <c r="G145" s="17" t="s">
        <v>338</v>
      </c>
      <c r="H145" s="17"/>
      <c r="I145" s="18" t="s">
        <v>466</v>
      </c>
      <c r="J145" s="18"/>
      <c r="K145" s="17" t="s">
        <v>340</v>
      </c>
      <c r="L145" s="18" t="s">
        <v>303</v>
      </c>
      <c r="M145" s="17"/>
      <c r="N145" s="17"/>
      <c r="O145" s="20">
        <v>75548823280</v>
      </c>
      <c r="P145" s="20">
        <v>-75548823280</v>
      </c>
      <c r="Q145" s="22" t="s">
        <v>57</v>
      </c>
      <c r="R145" s="23" t="s">
        <v>38</v>
      </c>
      <c r="S145" s="22" t="s">
        <v>38</v>
      </c>
      <c r="T145" s="22" t="s">
        <v>38</v>
      </c>
      <c r="U145" s="23" t="s">
        <v>38</v>
      </c>
      <c r="V145" s="22" t="s">
        <v>38</v>
      </c>
      <c r="W145" s="22" t="s">
        <v>38</v>
      </c>
      <c r="X145" s="22" t="s">
        <v>38</v>
      </c>
      <c r="Y145" s="22" t="s">
        <v>38</v>
      </c>
      <c r="Z145" s="22" t="s">
        <v>38</v>
      </c>
      <c r="AA145" s="22" t="s">
        <v>38</v>
      </c>
      <c r="AB145" s="22" t="s">
        <v>38</v>
      </c>
      <c r="AC145" s="22" t="s">
        <v>38</v>
      </c>
      <c r="AD145" s="22"/>
      <c r="AE145" s="17" t="s">
        <v>407</v>
      </c>
      <c r="AF145" s="17" t="s">
        <v>342</v>
      </c>
      <c r="AG145" s="17" t="s">
        <v>153</v>
      </c>
      <c r="AH145" s="17" t="s">
        <v>153</v>
      </c>
      <c r="AI145" s="17"/>
      <c r="AJ145" s="17"/>
      <c r="AK145" s="17"/>
      <c r="AL145" s="17"/>
      <c r="AM145" s="17"/>
      <c r="AN145" s="17"/>
      <c r="AO145" s="22"/>
      <c r="AP145" s="17" t="s">
        <v>125</v>
      </c>
      <c r="AQ145" s="17" t="s">
        <v>144</v>
      </c>
      <c r="AR145" s="17" t="s">
        <v>88</v>
      </c>
      <c r="AS145" s="46"/>
      <c r="AT145" s="50" t="s">
        <v>503</v>
      </c>
      <c r="AU145" s="35">
        <f t="shared" si="4"/>
        <v>1</v>
      </c>
      <c r="AV145" s="35">
        <f t="shared" si="5"/>
        <v>1900</v>
      </c>
    </row>
    <row r="146" spans="1:48" ht="37.5">
      <c r="A146" s="34">
        <v>54</v>
      </c>
      <c r="B146" s="17">
        <v>1000000000013210</v>
      </c>
      <c r="C146" s="18" t="s">
        <v>467</v>
      </c>
      <c r="D146" s="17"/>
      <c r="E146" s="17" t="s">
        <v>336</v>
      </c>
      <c r="F146" s="17" t="s">
        <v>337</v>
      </c>
      <c r="G146" s="17" t="s">
        <v>338</v>
      </c>
      <c r="H146" s="17"/>
      <c r="I146" s="18" t="s">
        <v>468</v>
      </c>
      <c r="J146" s="18"/>
      <c r="K146" s="17" t="s">
        <v>340</v>
      </c>
      <c r="L146" s="18" t="s">
        <v>303</v>
      </c>
      <c r="M146" s="17"/>
      <c r="N146" s="17"/>
      <c r="O146" s="20">
        <v>19488658329</v>
      </c>
      <c r="P146" s="20">
        <v>2545934573</v>
      </c>
      <c r="Q146" s="21">
        <v>22034592902</v>
      </c>
      <c r="R146" s="20">
        <v>1762767434</v>
      </c>
      <c r="S146" s="21">
        <v>23797360336</v>
      </c>
      <c r="T146" s="21">
        <v>13300898903</v>
      </c>
      <c r="U146" s="20">
        <v>14364970815</v>
      </c>
      <c r="V146" s="21">
        <v>9432389521</v>
      </c>
      <c r="W146" s="21">
        <v>15944179674</v>
      </c>
      <c r="X146" s="21">
        <v>15944179674</v>
      </c>
      <c r="Y146" s="22" t="s">
        <v>38</v>
      </c>
      <c r="Z146" s="22" t="s">
        <v>38</v>
      </c>
      <c r="AA146" s="21">
        <v>5846597499</v>
      </c>
      <c r="AB146" s="21">
        <v>2923298750</v>
      </c>
      <c r="AC146" s="21">
        <v>2923298749</v>
      </c>
      <c r="AD146" s="22"/>
      <c r="AE146" s="17" t="s">
        <v>407</v>
      </c>
      <c r="AF146" s="17" t="s">
        <v>469</v>
      </c>
      <c r="AG146" s="17" t="s">
        <v>83</v>
      </c>
      <c r="AH146" s="17" t="s">
        <v>58</v>
      </c>
      <c r="AI146" s="17"/>
      <c r="AJ146" s="17" t="s">
        <v>369</v>
      </c>
      <c r="AK146" s="17" t="s">
        <v>370</v>
      </c>
      <c r="AL146" s="17"/>
      <c r="AM146" s="17"/>
      <c r="AN146" s="17"/>
      <c r="AO146" s="22"/>
      <c r="AP146" s="17" t="s">
        <v>125</v>
      </c>
      <c r="AQ146" s="17" t="s">
        <v>144</v>
      </c>
      <c r="AR146" s="17" t="s">
        <v>140</v>
      </c>
      <c r="AS146" s="17"/>
      <c r="AT146" s="50" t="s">
        <v>503</v>
      </c>
      <c r="AU146" s="35">
        <f t="shared" si="4"/>
        <v>1</v>
      </c>
      <c r="AV146" s="35">
        <f t="shared" si="5"/>
        <v>1900</v>
      </c>
    </row>
    <row r="147" spans="1:48" ht="37.5">
      <c r="A147" s="34">
        <v>55</v>
      </c>
      <c r="B147" s="17">
        <v>1000000000006310</v>
      </c>
      <c r="C147" s="18" t="s">
        <v>470</v>
      </c>
      <c r="D147" s="17"/>
      <c r="E147" s="17" t="s">
        <v>336</v>
      </c>
      <c r="F147" s="17" t="s">
        <v>337</v>
      </c>
      <c r="G147" s="17" t="s">
        <v>338</v>
      </c>
      <c r="H147" s="17"/>
      <c r="I147" s="18" t="s">
        <v>471</v>
      </c>
      <c r="J147" s="18"/>
      <c r="K147" s="17" t="s">
        <v>340</v>
      </c>
      <c r="L147" s="18" t="s">
        <v>472</v>
      </c>
      <c r="M147" s="17"/>
      <c r="N147" s="17"/>
      <c r="O147" s="20">
        <v>771430316</v>
      </c>
      <c r="P147" s="20">
        <v>-140806588</v>
      </c>
      <c r="Q147" s="21">
        <v>630623728</v>
      </c>
      <c r="R147" s="20">
        <v>63062373</v>
      </c>
      <c r="S147" s="21">
        <v>693686101</v>
      </c>
      <c r="T147" s="21">
        <v>630623728</v>
      </c>
      <c r="U147" s="20">
        <v>693686101</v>
      </c>
      <c r="V147" s="22" t="s">
        <v>38</v>
      </c>
      <c r="W147" s="21">
        <v>662154915</v>
      </c>
      <c r="X147" s="21">
        <v>662154915</v>
      </c>
      <c r="Y147" s="22" t="s">
        <v>38</v>
      </c>
      <c r="Z147" s="22" t="s">
        <v>38</v>
      </c>
      <c r="AA147" s="21">
        <v>77143032</v>
      </c>
      <c r="AB147" s="21">
        <v>77143032</v>
      </c>
      <c r="AC147" s="22" t="s">
        <v>38</v>
      </c>
      <c r="AD147" s="22"/>
      <c r="AE147" s="17" t="s">
        <v>341</v>
      </c>
      <c r="AF147" s="17" t="s">
        <v>473</v>
      </c>
      <c r="AG147" s="17" t="s">
        <v>40</v>
      </c>
      <c r="AH147" s="17" t="s">
        <v>88</v>
      </c>
      <c r="AI147" s="17"/>
      <c r="AJ147" s="17"/>
      <c r="AK147" s="17"/>
      <c r="AL147" s="17"/>
      <c r="AM147" s="17"/>
      <c r="AN147" s="17"/>
      <c r="AO147" s="22"/>
      <c r="AP147" s="17" t="s">
        <v>125</v>
      </c>
      <c r="AQ147" s="17"/>
      <c r="AR147" s="17" t="s">
        <v>88</v>
      </c>
      <c r="AS147" s="44"/>
      <c r="AT147" s="50" t="s">
        <v>503</v>
      </c>
      <c r="AU147" s="35">
        <f t="shared" si="4"/>
        <v>1</v>
      </c>
      <c r="AV147" s="35">
        <f t="shared" si="5"/>
        <v>1900</v>
      </c>
    </row>
    <row r="148" spans="1:48" ht="37.5">
      <c r="A148" s="34">
        <v>56</v>
      </c>
      <c r="B148" s="17">
        <v>1000000000007340</v>
      </c>
      <c r="C148" s="18" t="s">
        <v>474</v>
      </c>
      <c r="D148" s="17"/>
      <c r="E148" s="17" t="s">
        <v>336</v>
      </c>
      <c r="F148" s="17" t="s">
        <v>337</v>
      </c>
      <c r="G148" s="17" t="s">
        <v>338</v>
      </c>
      <c r="H148" s="17"/>
      <c r="I148" s="18" t="s">
        <v>475</v>
      </c>
      <c r="J148" s="18"/>
      <c r="K148" s="17" t="s">
        <v>340</v>
      </c>
      <c r="L148" s="18" t="s">
        <v>68</v>
      </c>
      <c r="M148" s="17"/>
      <c r="N148" s="17"/>
      <c r="O148" s="20">
        <v>11585956000</v>
      </c>
      <c r="P148" s="20">
        <v>16787605691</v>
      </c>
      <c r="Q148" s="21">
        <v>28373561691</v>
      </c>
      <c r="R148" s="20">
        <v>2481622034</v>
      </c>
      <c r="S148" s="21">
        <v>30855183725</v>
      </c>
      <c r="T148" s="21">
        <v>25508200095</v>
      </c>
      <c r="U148" s="20">
        <v>27760593202</v>
      </c>
      <c r="V148" s="21">
        <v>3094590523</v>
      </c>
      <c r="W148" s="21">
        <v>26473183197</v>
      </c>
      <c r="X148" s="21">
        <v>26473183197</v>
      </c>
      <c r="Y148" s="22" t="s">
        <v>38</v>
      </c>
      <c r="Z148" s="22" t="s">
        <v>38</v>
      </c>
      <c r="AA148" s="21">
        <v>2317191200</v>
      </c>
      <c r="AB148" s="21">
        <v>2317191200</v>
      </c>
      <c r="AC148" s="22" t="s">
        <v>38</v>
      </c>
      <c r="AD148" s="22"/>
      <c r="AE148" s="17" t="s">
        <v>341</v>
      </c>
      <c r="AF148" s="17" t="s">
        <v>473</v>
      </c>
      <c r="AG148" s="17" t="s">
        <v>40</v>
      </c>
      <c r="AH148" s="17" t="s">
        <v>58</v>
      </c>
      <c r="AI148" s="17"/>
      <c r="AJ148" s="17" t="s">
        <v>369</v>
      </c>
      <c r="AK148" s="17" t="s">
        <v>370</v>
      </c>
      <c r="AL148" s="17"/>
      <c r="AM148" s="17"/>
      <c r="AN148" s="17"/>
      <c r="AO148" s="22"/>
      <c r="AP148" s="17" t="s">
        <v>125</v>
      </c>
      <c r="AQ148" s="17" t="s">
        <v>144</v>
      </c>
      <c r="AR148" s="42" t="s">
        <v>140</v>
      </c>
      <c r="AS148" s="50" t="s">
        <v>128</v>
      </c>
      <c r="AT148" s="50" t="s">
        <v>503</v>
      </c>
      <c r="AU148" s="35">
        <f t="shared" si="4"/>
        <v>1</v>
      </c>
      <c r="AV148" s="35">
        <f t="shared" si="5"/>
        <v>1900</v>
      </c>
    </row>
    <row r="149" spans="1:48" ht="37.5">
      <c r="A149" s="34">
        <v>57</v>
      </c>
      <c r="B149" s="17">
        <v>1000000000007360</v>
      </c>
      <c r="C149" s="18" t="s">
        <v>476</v>
      </c>
      <c r="D149" s="17"/>
      <c r="E149" s="17" t="s">
        <v>336</v>
      </c>
      <c r="F149" s="17" t="s">
        <v>337</v>
      </c>
      <c r="G149" s="17" t="s">
        <v>338</v>
      </c>
      <c r="H149" s="17"/>
      <c r="I149" s="18" t="s">
        <v>477</v>
      </c>
      <c r="J149" s="18"/>
      <c r="K149" s="17" t="s">
        <v>340</v>
      </c>
      <c r="L149" s="18" t="s">
        <v>161</v>
      </c>
      <c r="M149" s="17"/>
      <c r="N149" s="17"/>
      <c r="O149" s="20">
        <v>4752083000</v>
      </c>
      <c r="P149" s="20">
        <v>2452861353</v>
      </c>
      <c r="Q149" s="21">
        <v>7204944353</v>
      </c>
      <c r="R149" s="20">
        <v>633261612</v>
      </c>
      <c r="S149" s="21">
        <v>7838205965</v>
      </c>
      <c r="T149" s="21">
        <v>5546966971</v>
      </c>
      <c r="U149" s="20">
        <v>6047590393</v>
      </c>
      <c r="V149" s="21">
        <v>1790615572</v>
      </c>
      <c r="W149" s="21">
        <v>5712938562</v>
      </c>
      <c r="X149" s="21">
        <v>5712938562</v>
      </c>
      <c r="Y149" s="22" t="s">
        <v>38</v>
      </c>
      <c r="Z149" s="22" t="s">
        <v>38</v>
      </c>
      <c r="AA149" s="21">
        <v>972601515</v>
      </c>
      <c r="AB149" s="21">
        <v>475208300</v>
      </c>
      <c r="AC149" s="21">
        <v>497393215</v>
      </c>
      <c r="AD149" s="22"/>
      <c r="AE149" s="17" t="s">
        <v>341</v>
      </c>
      <c r="AF149" s="17" t="s">
        <v>473</v>
      </c>
      <c r="AG149" s="17" t="s">
        <v>40</v>
      </c>
      <c r="AH149" s="17" t="s">
        <v>58</v>
      </c>
      <c r="AI149" s="17"/>
      <c r="AJ149" s="17" t="s">
        <v>359</v>
      </c>
      <c r="AK149" s="17"/>
      <c r="AL149" s="17"/>
      <c r="AM149" s="17"/>
      <c r="AN149" s="17"/>
      <c r="AO149" s="22"/>
      <c r="AP149" s="17" t="s">
        <v>125</v>
      </c>
      <c r="AQ149" s="17" t="s">
        <v>132</v>
      </c>
      <c r="AR149" s="42" t="s">
        <v>140</v>
      </c>
      <c r="AS149" s="50" t="s">
        <v>128</v>
      </c>
      <c r="AT149" s="50" t="s">
        <v>503</v>
      </c>
      <c r="AU149" s="35">
        <f t="shared" si="4"/>
        <v>1</v>
      </c>
      <c r="AV149" s="35">
        <f t="shared" si="5"/>
        <v>1900</v>
      </c>
    </row>
    <row r="150" spans="1:48" ht="37.5">
      <c r="A150" s="34">
        <v>58</v>
      </c>
      <c r="B150" s="17">
        <v>1000000000009460</v>
      </c>
      <c r="C150" s="18" t="s">
        <v>478</v>
      </c>
      <c r="D150" s="17"/>
      <c r="E150" s="17" t="s">
        <v>336</v>
      </c>
      <c r="F150" s="17" t="s">
        <v>337</v>
      </c>
      <c r="G150" s="17" t="s">
        <v>338</v>
      </c>
      <c r="H150" s="17"/>
      <c r="I150" s="18" t="s">
        <v>479</v>
      </c>
      <c r="J150" s="18"/>
      <c r="K150" s="17" t="s">
        <v>340</v>
      </c>
      <c r="L150" s="18" t="s">
        <v>381</v>
      </c>
      <c r="M150" s="17"/>
      <c r="N150" s="17"/>
      <c r="O150" s="20">
        <v>147524027356</v>
      </c>
      <c r="P150" s="20">
        <v>50652436100</v>
      </c>
      <c r="Q150" s="21">
        <v>198176463456</v>
      </c>
      <c r="R150" s="20">
        <v>16179151756</v>
      </c>
      <c r="S150" s="21">
        <v>214355615212</v>
      </c>
      <c r="T150" s="21">
        <v>170996133386</v>
      </c>
      <c r="U150" s="20">
        <v>185000858736</v>
      </c>
      <c r="V150" s="21">
        <v>29354756476</v>
      </c>
      <c r="W150" s="21">
        <v>176345025576</v>
      </c>
      <c r="X150" s="21">
        <v>176345025576</v>
      </c>
      <c r="Y150" s="22" t="s">
        <v>38</v>
      </c>
      <c r="Z150" s="22" t="s">
        <v>38</v>
      </c>
      <c r="AA150" s="21">
        <v>2788197829</v>
      </c>
      <c r="AB150" s="21">
        <v>2788197829</v>
      </c>
      <c r="AC150" s="22" t="s">
        <v>38</v>
      </c>
      <c r="AD150" s="22"/>
      <c r="AE150" s="17" t="s">
        <v>341</v>
      </c>
      <c r="AF150" s="17" t="s">
        <v>473</v>
      </c>
      <c r="AG150" s="17" t="s">
        <v>40</v>
      </c>
      <c r="AH150" s="17" t="s">
        <v>58</v>
      </c>
      <c r="AI150" s="17"/>
      <c r="AJ150" s="17" t="s">
        <v>369</v>
      </c>
      <c r="AK150" s="17" t="s">
        <v>370</v>
      </c>
      <c r="AL150" s="17"/>
      <c r="AM150" s="17"/>
      <c r="AN150" s="17"/>
      <c r="AO150" s="22"/>
      <c r="AP150" s="17" t="s">
        <v>125</v>
      </c>
      <c r="AQ150" s="17" t="s">
        <v>144</v>
      </c>
      <c r="AR150" s="42" t="s">
        <v>127</v>
      </c>
      <c r="AS150" s="50" t="s">
        <v>128</v>
      </c>
      <c r="AT150" s="50" t="s">
        <v>503</v>
      </c>
      <c r="AU150" s="35">
        <f t="shared" si="4"/>
        <v>1</v>
      </c>
      <c r="AV150" s="35">
        <f t="shared" si="5"/>
        <v>1900</v>
      </c>
    </row>
    <row r="151" spans="1:48" ht="37.5">
      <c r="A151" s="34">
        <v>59</v>
      </c>
      <c r="B151" s="17">
        <v>1000000000009460</v>
      </c>
      <c r="C151" s="18" t="s">
        <v>480</v>
      </c>
      <c r="D151" s="17"/>
      <c r="E151" s="17" t="s">
        <v>336</v>
      </c>
      <c r="F151" s="17" t="s">
        <v>337</v>
      </c>
      <c r="G151" s="17" t="s">
        <v>338</v>
      </c>
      <c r="H151" s="17"/>
      <c r="I151" s="18" t="s">
        <v>481</v>
      </c>
      <c r="J151" s="18"/>
      <c r="K151" s="17" t="s">
        <v>340</v>
      </c>
      <c r="L151" s="18" t="s">
        <v>482</v>
      </c>
      <c r="M151" s="17"/>
      <c r="N151" s="17"/>
      <c r="O151" s="20">
        <v>65967276000</v>
      </c>
      <c r="P151" s="20">
        <v>12230790124</v>
      </c>
      <c r="Q151" s="21">
        <v>78198066124</v>
      </c>
      <c r="R151" s="20">
        <v>6702802111</v>
      </c>
      <c r="S151" s="21">
        <v>84900868235</v>
      </c>
      <c r="T151" s="21">
        <v>73854174516</v>
      </c>
      <c r="U151" s="20">
        <v>80209465298</v>
      </c>
      <c r="V151" s="21">
        <v>4691402937</v>
      </c>
      <c r="W151" s="21">
        <v>76445135811</v>
      </c>
      <c r="X151" s="21">
        <v>55198180596</v>
      </c>
      <c r="Y151" s="21">
        <v>10530501103</v>
      </c>
      <c r="Z151" s="21">
        <v>10716454112</v>
      </c>
      <c r="AA151" s="21">
        <v>7055382464</v>
      </c>
      <c r="AB151" s="21">
        <v>7055382464</v>
      </c>
      <c r="AC151" s="22" t="s">
        <v>38</v>
      </c>
      <c r="AD151" s="22"/>
      <c r="AE151" s="17" t="s">
        <v>341</v>
      </c>
      <c r="AF151" s="17" t="s">
        <v>473</v>
      </c>
      <c r="AG151" s="17" t="s">
        <v>40</v>
      </c>
      <c r="AH151" s="17" t="s">
        <v>58</v>
      </c>
      <c r="AI151" s="17"/>
      <c r="AJ151" s="17" t="s">
        <v>369</v>
      </c>
      <c r="AK151" s="17" t="s">
        <v>370</v>
      </c>
      <c r="AL151" s="17"/>
      <c r="AM151" s="17"/>
      <c r="AN151" s="17"/>
      <c r="AO151" s="22"/>
      <c r="AP151" s="17" t="s">
        <v>125</v>
      </c>
      <c r="AQ151" s="17" t="s">
        <v>144</v>
      </c>
      <c r="AR151" s="42" t="s">
        <v>140</v>
      </c>
      <c r="AS151" s="50" t="s">
        <v>128</v>
      </c>
      <c r="AT151" s="50" t="s">
        <v>503</v>
      </c>
      <c r="AU151" s="35">
        <f t="shared" si="4"/>
        <v>1</v>
      </c>
      <c r="AV151" s="35">
        <f t="shared" si="5"/>
        <v>1900</v>
      </c>
    </row>
    <row r="152" spans="1:48" ht="37.5">
      <c r="A152" s="34">
        <v>60</v>
      </c>
      <c r="B152" s="17">
        <v>1000000000009460</v>
      </c>
      <c r="C152" s="18" t="s">
        <v>483</v>
      </c>
      <c r="D152" s="17"/>
      <c r="E152" s="17" t="s">
        <v>336</v>
      </c>
      <c r="F152" s="17" t="s">
        <v>337</v>
      </c>
      <c r="G152" s="17" t="s">
        <v>338</v>
      </c>
      <c r="H152" s="17"/>
      <c r="I152" s="18" t="s">
        <v>484</v>
      </c>
      <c r="J152" s="18"/>
      <c r="K152" s="17" t="s">
        <v>340</v>
      </c>
      <c r="L152" s="18" t="s">
        <v>485</v>
      </c>
      <c r="M152" s="17"/>
      <c r="N152" s="17"/>
      <c r="O152" s="20">
        <v>175872800206</v>
      </c>
      <c r="P152" s="20">
        <v>-171948599013</v>
      </c>
      <c r="Q152" s="21">
        <v>3924201193</v>
      </c>
      <c r="R152" s="20">
        <v>392420119</v>
      </c>
      <c r="S152" s="21">
        <v>4316621312</v>
      </c>
      <c r="T152" s="22" t="s">
        <v>38</v>
      </c>
      <c r="U152" s="23" t="s">
        <v>38</v>
      </c>
      <c r="V152" s="21">
        <v>4316621312</v>
      </c>
      <c r="W152" s="22" t="s">
        <v>38</v>
      </c>
      <c r="X152" s="22" t="s">
        <v>38</v>
      </c>
      <c r="Y152" s="22" t="s">
        <v>38</v>
      </c>
      <c r="Z152" s="22" t="s">
        <v>38</v>
      </c>
      <c r="AA152" s="22" t="s">
        <v>38</v>
      </c>
      <c r="AB152" s="22" t="s">
        <v>38</v>
      </c>
      <c r="AC152" s="22" t="s">
        <v>38</v>
      </c>
      <c r="AD152" s="22"/>
      <c r="AE152" s="17" t="s">
        <v>341</v>
      </c>
      <c r="AF152" s="17" t="s">
        <v>473</v>
      </c>
      <c r="AG152" s="17" t="s">
        <v>50</v>
      </c>
      <c r="AH152" s="17" t="s">
        <v>58</v>
      </c>
      <c r="AI152" s="17"/>
      <c r="AJ152" s="17" t="s">
        <v>359</v>
      </c>
      <c r="AK152" s="17" t="s">
        <v>370</v>
      </c>
      <c r="AL152" s="17"/>
      <c r="AM152" s="17"/>
      <c r="AN152" s="17"/>
      <c r="AO152" s="22"/>
      <c r="AP152" s="17" t="s">
        <v>125</v>
      </c>
      <c r="AQ152" s="17" t="s">
        <v>144</v>
      </c>
      <c r="AR152" s="42" t="s">
        <v>140</v>
      </c>
      <c r="AS152" s="50" t="s">
        <v>128</v>
      </c>
      <c r="AT152" s="50" t="s">
        <v>503</v>
      </c>
      <c r="AU152" s="35">
        <f t="shared" si="4"/>
        <v>1</v>
      </c>
      <c r="AV152" s="35">
        <f t="shared" si="5"/>
        <v>1900</v>
      </c>
    </row>
    <row r="153" spans="1:48" ht="37.5">
      <c r="A153" s="34">
        <v>61</v>
      </c>
      <c r="B153" s="17">
        <v>1000000000009460</v>
      </c>
      <c r="C153" s="18" t="s">
        <v>486</v>
      </c>
      <c r="D153" s="17"/>
      <c r="E153" s="17" t="s">
        <v>336</v>
      </c>
      <c r="F153" s="17" t="s">
        <v>337</v>
      </c>
      <c r="G153" s="17" t="s">
        <v>338</v>
      </c>
      <c r="H153" s="17"/>
      <c r="I153" s="18" t="s">
        <v>487</v>
      </c>
      <c r="J153" s="18"/>
      <c r="K153" s="17" t="s">
        <v>340</v>
      </c>
      <c r="L153" s="18" t="s">
        <v>68</v>
      </c>
      <c r="M153" s="17"/>
      <c r="N153" s="17"/>
      <c r="O153" s="20">
        <v>65055825215</v>
      </c>
      <c r="P153" s="20">
        <v>8883220846</v>
      </c>
      <c r="Q153" s="21">
        <v>73939046061</v>
      </c>
      <c r="R153" s="20">
        <v>5926488255</v>
      </c>
      <c r="S153" s="21">
        <v>79865534316</v>
      </c>
      <c r="T153" s="21">
        <v>59782768760</v>
      </c>
      <c r="U153" s="20">
        <v>64576754831</v>
      </c>
      <c r="V153" s="21">
        <v>15288779485</v>
      </c>
      <c r="W153" s="21">
        <v>63052616393</v>
      </c>
      <c r="X153" s="21">
        <v>45077548205</v>
      </c>
      <c r="Y153" s="22" t="s">
        <v>38</v>
      </c>
      <c r="Z153" s="21">
        <v>17975068188</v>
      </c>
      <c r="AA153" s="21">
        <v>14511165043</v>
      </c>
      <c r="AB153" s="21">
        <v>13011165043</v>
      </c>
      <c r="AC153" s="21">
        <v>1500000000</v>
      </c>
      <c r="AD153" s="22"/>
      <c r="AE153" s="17" t="s">
        <v>341</v>
      </c>
      <c r="AF153" s="17" t="s">
        <v>473</v>
      </c>
      <c r="AG153" s="17" t="s">
        <v>40</v>
      </c>
      <c r="AH153" s="17" t="s">
        <v>58</v>
      </c>
      <c r="AI153" s="17"/>
      <c r="AJ153" s="17" t="s">
        <v>400</v>
      </c>
      <c r="AK153" s="17" t="s">
        <v>370</v>
      </c>
      <c r="AL153" s="17"/>
      <c r="AM153" s="17"/>
      <c r="AN153" s="17"/>
      <c r="AO153" s="22"/>
      <c r="AP153" s="17" t="s">
        <v>125</v>
      </c>
      <c r="AQ153" s="17" t="s">
        <v>144</v>
      </c>
      <c r="AR153" s="42" t="s">
        <v>140</v>
      </c>
      <c r="AS153" s="50" t="s">
        <v>128</v>
      </c>
      <c r="AT153" s="50" t="s">
        <v>503</v>
      </c>
      <c r="AU153" s="35">
        <f t="shared" si="4"/>
        <v>1</v>
      </c>
      <c r="AV153" s="35">
        <f t="shared" si="5"/>
        <v>1900</v>
      </c>
    </row>
    <row r="154" spans="1:48" ht="37.5">
      <c r="A154" s="34">
        <v>62</v>
      </c>
      <c r="B154" s="17">
        <v>1000000000010150</v>
      </c>
      <c r="C154" s="18" t="s">
        <v>488</v>
      </c>
      <c r="D154" s="17"/>
      <c r="E154" s="17" t="s">
        <v>336</v>
      </c>
      <c r="F154" s="17" t="s">
        <v>337</v>
      </c>
      <c r="G154" s="17" t="s">
        <v>338</v>
      </c>
      <c r="H154" s="17"/>
      <c r="I154" s="18" t="s">
        <v>489</v>
      </c>
      <c r="J154" s="18"/>
      <c r="K154" s="17" t="s">
        <v>340</v>
      </c>
      <c r="L154" s="18" t="s">
        <v>490</v>
      </c>
      <c r="M154" s="17"/>
      <c r="N154" s="17"/>
      <c r="O154" s="20">
        <v>175872800206</v>
      </c>
      <c r="P154" s="20">
        <v>24839713343</v>
      </c>
      <c r="Q154" s="21">
        <v>200712513549</v>
      </c>
      <c r="R154" s="20">
        <v>16057001083</v>
      </c>
      <c r="S154" s="21">
        <v>216769514632</v>
      </c>
      <c r="T154" s="21">
        <v>108017316070</v>
      </c>
      <c r="U154" s="20">
        <v>116658701355</v>
      </c>
      <c r="V154" s="21">
        <v>100110813277</v>
      </c>
      <c r="W154" s="21">
        <v>104000926099</v>
      </c>
      <c r="X154" s="21">
        <v>93959020587</v>
      </c>
      <c r="Y154" s="22" t="s">
        <v>38</v>
      </c>
      <c r="Z154" s="21">
        <v>10041905512</v>
      </c>
      <c r="AA154" s="21">
        <v>38874560041</v>
      </c>
      <c r="AB154" s="21">
        <v>35174560041</v>
      </c>
      <c r="AC154" s="21">
        <v>3700000000</v>
      </c>
      <c r="AD154" s="22"/>
      <c r="AE154" s="17" t="s">
        <v>341</v>
      </c>
      <c r="AF154" s="17" t="s">
        <v>473</v>
      </c>
      <c r="AG154" s="17" t="s">
        <v>40</v>
      </c>
      <c r="AH154" s="17" t="s">
        <v>58</v>
      </c>
      <c r="AI154" s="17"/>
      <c r="AJ154" s="17" t="s">
        <v>369</v>
      </c>
      <c r="AK154" s="17" t="s">
        <v>370</v>
      </c>
      <c r="AL154" s="17"/>
      <c r="AM154" s="17"/>
      <c r="AN154" s="19">
        <v>46387</v>
      </c>
      <c r="AO154" s="22"/>
      <c r="AP154" s="17" t="s">
        <v>125</v>
      </c>
      <c r="AQ154" s="17" t="s">
        <v>144</v>
      </c>
      <c r="AR154" s="42" t="s">
        <v>127</v>
      </c>
      <c r="AS154" s="50" t="s">
        <v>128</v>
      </c>
      <c r="AT154" s="50" t="s">
        <v>503</v>
      </c>
      <c r="AU154" s="35">
        <f t="shared" si="4"/>
        <v>1</v>
      </c>
      <c r="AV154" s="35">
        <f t="shared" si="5"/>
        <v>1900</v>
      </c>
    </row>
    <row r="155" spans="1:48" ht="37.5">
      <c r="A155" s="34">
        <v>63</v>
      </c>
      <c r="B155" s="17">
        <v>1000000000010310</v>
      </c>
      <c r="C155" s="18" t="s">
        <v>491</v>
      </c>
      <c r="D155" s="17"/>
      <c r="E155" s="17" t="s">
        <v>336</v>
      </c>
      <c r="F155" s="17" t="s">
        <v>337</v>
      </c>
      <c r="G155" s="17" t="s">
        <v>338</v>
      </c>
      <c r="H155" s="17"/>
      <c r="I155" s="18" t="s">
        <v>492</v>
      </c>
      <c r="J155" s="18"/>
      <c r="K155" s="17" t="s">
        <v>340</v>
      </c>
      <c r="L155" s="18" t="s">
        <v>493</v>
      </c>
      <c r="M155" s="17"/>
      <c r="N155" s="17"/>
      <c r="O155" s="20">
        <v>99093216000</v>
      </c>
      <c r="P155" s="20">
        <v>-24539505910</v>
      </c>
      <c r="Q155" s="21">
        <v>74553710090</v>
      </c>
      <c r="R155" s="20">
        <v>5964296807</v>
      </c>
      <c r="S155" s="21">
        <v>80518006897</v>
      </c>
      <c r="T155" s="21">
        <v>74553710090</v>
      </c>
      <c r="U155" s="20">
        <v>80518006897</v>
      </c>
      <c r="V155" s="22" t="s">
        <v>38</v>
      </c>
      <c r="W155" s="21">
        <v>80518006897</v>
      </c>
      <c r="X155" s="21">
        <v>54345627010</v>
      </c>
      <c r="Y155" s="22" t="s">
        <v>38</v>
      </c>
      <c r="Z155" s="21">
        <v>26172379887</v>
      </c>
      <c r="AA155" s="21">
        <v>20899157089</v>
      </c>
      <c r="AB155" s="21">
        <v>20899157089</v>
      </c>
      <c r="AC155" s="22" t="s">
        <v>38</v>
      </c>
      <c r="AD155" s="22" t="s">
        <v>494</v>
      </c>
      <c r="AE155" s="17" t="s">
        <v>341</v>
      </c>
      <c r="AF155" s="17" t="s">
        <v>473</v>
      </c>
      <c r="AG155" s="17" t="s">
        <v>50</v>
      </c>
      <c r="AH155" s="17" t="s">
        <v>88</v>
      </c>
      <c r="AI155" s="19">
        <v>46197</v>
      </c>
      <c r="AJ155" s="17"/>
      <c r="AK155" s="17" t="s">
        <v>364</v>
      </c>
      <c r="AL155" s="17"/>
      <c r="AM155" s="17"/>
      <c r="AN155" s="19">
        <v>46197</v>
      </c>
      <c r="AO155" s="22"/>
      <c r="AP155" s="17" t="s">
        <v>125</v>
      </c>
      <c r="AQ155" s="17" t="s">
        <v>144</v>
      </c>
      <c r="AR155" s="42" t="s">
        <v>127</v>
      </c>
      <c r="AS155" s="50" t="s">
        <v>128</v>
      </c>
      <c r="AT155" s="50" t="s">
        <v>503</v>
      </c>
      <c r="AU155" s="35">
        <f t="shared" si="4"/>
        <v>1</v>
      </c>
      <c r="AV155" s="35">
        <f t="shared" si="5"/>
        <v>1900</v>
      </c>
    </row>
    <row r="156" spans="1:48" ht="37.5">
      <c r="A156" s="34">
        <v>64</v>
      </c>
      <c r="B156" s="17">
        <v>1000000000010560</v>
      </c>
      <c r="C156" s="18" t="s">
        <v>495</v>
      </c>
      <c r="D156" s="17"/>
      <c r="E156" s="17" t="s">
        <v>336</v>
      </c>
      <c r="F156" s="17" t="s">
        <v>337</v>
      </c>
      <c r="G156" s="17" t="s">
        <v>338</v>
      </c>
      <c r="H156" s="17"/>
      <c r="I156" s="18" t="s">
        <v>496</v>
      </c>
      <c r="J156" s="18"/>
      <c r="K156" s="17" t="s">
        <v>340</v>
      </c>
      <c r="L156" s="18" t="s">
        <v>109</v>
      </c>
      <c r="M156" s="17"/>
      <c r="N156" s="17"/>
      <c r="O156" s="20">
        <v>41336859839</v>
      </c>
      <c r="P156" s="23" t="s">
        <v>38</v>
      </c>
      <c r="Q156" s="21">
        <v>41336859839</v>
      </c>
      <c r="R156" s="20">
        <v>3306948787</v>
      </c>
      <c r="S156" s="21">
        <v>44643808626</v>
      </c>
      <c r="T156" s="21">
        <v>16181259518</v>
      </c>
      <c r="U156" s="20">
        <v>17475760279</v>
      </c>
      <c r="V156" s="21">
        <v>27168048347</v>
      </c>
      <c r="W156" s="21">
        <v>17158193316</v>
      </c>
      <c r="X156" s="21">
        <v>17097750047</v>
      </c>
      <c r="Y156" s="22" t="s">
        <v>38</v>
      </c>
      <c r="Z156" s="21">
        <v>60443269</v>
      </c>
      <c r="AA156" s="21">
        <v>4133685984</v>
      </c>
      <c r="AB156" s="21">
        <v>2830126994</v>
      </c>
      <c r="AC156" s="21">
        <v>1303558990</v>
      </c>
      <c r="AD156" s="22"/>
      <c r="AE156" s="17" t="s">
        <v>341</v>
      </c>
      <c r="AF156" s="17" t="s">
        <v>473</v>
      </c>
      <c r="AG156" s="17" t="s">
        <v>40</v>
      </c>
      <c r="AH156" s="17" t="s">
        <v>58</v>
      </c>
      <c r="AI156" s="17"/>
      <c r="AJ156" s="17" t="s">
        <v>369</v>
      </c>
      <c r="AK156" s="17" t="s">
        <v>370</v>
      </c>
      <c r="AL156" s="17"/>
      <c r="AM156" s="17"/>
      <c r="AN156" s="17"/>
      <c r="AO156" s="22"/>
      <c r="AP156" s="17" t="s">
        <v>125</v>
      </c>
      <c r="AQ156" s="17" t="s">
        <v>144</v>
      </c>
      <c r="AR156" s="42" t="s">
        <v>127</v>
      </c>
      <c r="AS156" s="50" t="s">
        <v>128</v>
      </c>
      <c r="AT156" s="50" t="s">
        <v>503</v>
      </c>
      <c r="AU156" s="35">
        <f t="shared" si="4"/>
        <v>1</v>
      </c>
      <c r="AV156" s="35">
        <f t="shared" si="5"/>
        <v>1900</v>
      </c>
    </row>
    <row r="157" spans="1:48" ht="37.5">
      <c r="A157" s="34">
        <v>65</v>
      </c>
      <c r="B157" s="17">
        <v>1000000000010600</v>
      </c>
      <c r="C157" s="18" t="s">
        <v>497</v>
      </c>
      <c r="D157" s="17"/>
      <c r="E157" s="17" t="s">
        <v>336</v>
      </c>
      <c r="F157" s="17" t="s">
        <v>337</v>
      </c>
      <c r="G157" s="17" t="s">
        <v>338</v>
      </c>
      <c r="H157" s="17"/>
      <c r="I157" s="18" t="s">
        <v>498</v>
      </c>
      <c r="J157" s="18"/>
      <c r="K157" s="17" t="s">
        <v>340</v>
      </c>
      <c r="L157" s="18" t="s">
        <v>499</v>
      </c>
      <c r="M157" s="17"/>
      <c r="N157" s="17"/>
      <c r="O157" s="20">
        <v>249653138000</v>
      </c>
      <c r="P157" s="20">
        <v>-171990798031</v>
      </c>
      <c r="Q157" s="21">
        <v>77662339969</v>
      </c>
      <c r="R157" s="20">
        <v>6212987198</v>
      </c>
      <c r="S157" s="21">
        <v>83875327167</v>
      </c>
      <c r="T157" s="21">
        <v>77662339969</v>
      </c>
      <c r="U157" s="20">
        <v>83875327167</v>
      </c>
      <c r="V157" s="22" t="s">
        <v>38</v>
      </c>
      <c r="W157" s="21">
        <v>79992210169</v>
      </c>
      <c r="X157" s="21">
        <v>36070621792</v>
      </c>
      <c r="Y157" s="22" t="s">
        <v>38</v>
      </c>
      <c r="Z157" s="21">
        <v>43921588377</v>
      </c>
      <c r="AA157" s="21">
        <v>24965313800</v>
      </c>
      <c r="AB157" s="21">
        <v>24965313800</v>
      </c>
      <c r="AC157" s="22" t="s">
        <v>38</v>
      </c>
      <c r="AD157" s="22"/>
      <c r="AE157" s="17" t="s">
        <v>407</v>
      </c>
      <c r="AF157" s="17" t="s">
        <v>473</v>
      </c>
      <c r="AG157" s="17" t="s">
        <v>40</v>
      </c>
      <c r="AH157" s="17" t="s">
        <v>88</v>
      </c>
      <c r="AI157" s="19">
        <v>46044</v>
      </c>
      <c r="AJ157" s="17" t="s">
        <v>400</v>
      </c>
      <c r="AK157" s="17"/>
      <c r="AL157" s="17"/>
      <c r="AM157" s="17"/>
      <c r="AN157" s="17"/>
      <c r="AO157" s="22"/>
      <c r="AP157" s="17" t="s">
        <v>125</v>
      </c>
      <c r="AQ157" s="17" t="s">
        <v>144</v>
      </c>
      <c r="AR157" s="42" t="s">
        <v>140</v>
      </c>
      <c r="AS157" s="50" t="s">
        <v>128</v>
      </c>
      <c r="AT157" s="50" t="s">
        <v>503</v>
      </c>
      <c r="AU157" s="35">
        <f t="shared" si="4"/>
        <v>1</v>
      </c>
      <c r="AV157" s="35">
        <f t="shared" si="5"/>
        <v>1900</v>
      </c>
    </row>
  </sheetData>
  <autoFilter ref="A4:AU1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D8" sqref="D8"/>
    </sheetView>
  </sheetViews>
  <sheetFormatPr defaultRowHeight="14.5"/>
  <cols>
    <col min="1" max="1" width="13.08984375" customWidth="1"/>
    <col min="2" max="2" width="17.90625" customWidth="1"/>
    <col min="3" max="3" width="13" customWidth="1"/>
    <col min="4" max="4" width="13.36328125" customWidth="1"/>
    <col min="8" max="8" width="30" customWidth="1"/>
  </cols>
  <sheetData>
    <row r="1" spans="1:8">
      <c r="A1" t="s">
        <v>504</v>
      </c>
      <c r="B1" s="35"/>
    </row>
    <row r="2" spans="1:8">
      <c r="B2" s="35"/>
    </row>
    <row r="3" spans="1:8">
      <c r="B3" s="35" t="s">
        <v>506</v>
      </c>
    </row>
    <row r="4" spans="1:8" s="52" customFormat="1" ht="46" customHeight="1">
      <c r="A4" s="53" t="s">
        <v>5</v>
      </c>
      <c r="B4" s="53" t="s">
        <v>113</v>
      </c>
      <c r="C4" s="53" t="s">
        <v>505</v>
      </c>
      <c r="D4" s="53" t="s">
        <v>508</v>
      </c>
      <c r="E4" s="53" t="s">
        <v>509</v>
      </c>
      <c r="F4" s="53" t="s">
        <v>510</v>
      </c>
      <c r="H4" s="52" t="s">
        <v>511</v>
      </c>
    </row>
    <row r="5" spans="1:8" ht="25">
      <c r="A5" s="54" t="s">
        <v>121</v>
      </c>
      <c r="B5" s="50" t="s">
        <v>120</v>
      </c>
      <c r="C5" s="54">
        <f>SUMIFS(Data!$AU:$AU,Data!$G:$G,$A5,Data!$F:$F,$B5)</f>
        <v>20</v>
      </c>
      <c r="D5" s="54">
        <f>SUMIFS(Data!$AU:$AU,Data!$G:$G,$A5,Data!$F:$F,$B5,Data!$AV:$AV,2026)</f>
        <v>20</v>
      </c>
      <c r="E5" s="54"/>
      <c r="F5" s="54"/>
    </row>
    <row r="6" spans="1:8" ht="25">
      <c r="A6" s="54" t="s">
        <v>121</v>
      </c>
      <c r="B6" s="50" t="s">
        <v>195</v>
      </c>
      <c r="C6" s="54">
        <f>SUMIFS(Data!$AU:$AU,Data!$G:$G,$A6,Data!$F:$F,$B6)</f>
        <v>3</v>
      </c>
      <c r="D6" s="54">
        <f>SUMIFS(Data!$AU:$AU,Data!$G:$G,$A6,Data!$F:$F,$B6,Data!$AV:$AV,2026)</f>
        <v>3</v>
      </c>
      <c r="E6" s="54"/>
      <c r="F6" s="54"/>
    </row>
    <row r="7" spans="1:8">
      <c r="A7" s="54" t="s">
        <v>34</v>
      </c>
      <c r="B7" s="55" t="s">
        <v>33</v>
      </c>
      <c r="C7" s="54">
        <f>SUMIFS(Data!$AU:$AU,Data!$G:$G,$A7,Data!$F:$F,$B7)</f>
        <v>1</v>
      </c>
      <c r="D7" s="54">
        <f>SUMIFS(Data!$AU:$AU,Data!$G:$G,$A7,Data!$F:$F,$B7,Data!$AV:$AV,2026)</f>
        <v>1</v>
      </c>
      <c r="E7" s="54"/>
      <c r="F7" s="54"/>
    </row>
    <row r="8" spans="1:8" ht="26">
      <c r="A8" s="54" t="s">
        <v>34</v>
      </c>
      <c r="B8" s="55" t="s">
        <v>46</v>
      </c>
      <c r="C8" s="54">
        <f>SUMIFS(Data!$AU:$AU,Data!$G:$G,$A8,Data!$F:$F,$B8)</f>
        <v>1</v>
      </c>
      <c r="D8" s="54">
        <f>SUMIFS(Data!$AU:$AU,Data!$G:$G,$A8,Data!$F:$F,$B8,Data!$AV:$AV,2026)</f>
        <v>1</v>
      </c>
      <c r="E8" s="54"/>
      <c r="F8" s="54"/>
    </row>
    <row r="9" spans="1:8">
      <c r="A9" s="54" t="s">
        <v>34</v>
      </c>
      <c r="B9" s="55" t="s">
        <v>53</v>
      </c>
      <c r="C9" s="54">
        <f>SUMIFS(Data!$AU:$AU,Data!$G:$G,$A9,Data!$F:$F,$B9)</f>
        <v>59</v>
      </c>
      <c r="D9" s="54">
        <f>SUMIFS(Data!$AU:$AU,Data!$G:$G,$A9,Data!$F:$F,$B9,Data!$AV:$AV,2026)</f>
        <v>10</v>
      </c>
      <c r="E9" s="54"/>
      <c r="F9" s="54"/>
    </row>
    <row r="10" spans="1:8" ht="26">
      <c r="A10" s="54" t="s">
        <v>34</v>
      </c>
      <c r="B10" s="55" t="s">
        <v>65</v>
      </c>
      <c r="C10" s="54">
        <f>SUMIFS(Data!$AU:$AU,Data!$G:$G,$A10,Data!$F:$F,$B10)</f>
        <v>2</v>
      </c>
      <c r="D10" s="54">
        <f>SUMIFS(Data!$AU:$AU,Data!$G:$G,$A10,Data!$F:$F,$B10,Data!$AV:$AV,2026)</f>
        <v>2</v>
      </c>
      <c r="E10" s="54"/>
      <c r="F10" s="54"/>
    </row>
    <row r="11" spans="1:8">
      <c r="A11" s="54" t="s">
        <v>34</v>
      </c>
      <c r="B11" s="55" t="s">
        <v>78</v>
      </c>
      <c r="C11" s="54">
        <f>SUMIFS(Data!$AU:$AU,Data!$G:$G,$A11,Data!$F:$F,$B11)</f>
        <v>2</v>
      </c>
      <c r="D11" s="54">
        <f>SUMIFS(Data!$AU:$AU,Data!$G:$G,$A11,Data!$F:$F,$B11,Data!$AV:$AV,2026)</f>
        <v>2</v>
      </c>
      <c r="E11" s="54"/>
      <c r="F11" s="54"/>
    </row>
    <row r="12" spans="1:8">
      <c r="A12" s="54" t="s">
        <v>338</v>
      </c>
      <c r="B12" s="50" t="s">
        <v>337</v>
      </c>
      <c r="C12" s="54">
        <f>SUMIFS(Data!$AU:$AU,Data!$G:$G,$A12,Data!$F:$F,$B12)</f>
        <v>64</v>
      </c>
      <c r="D12" s="54">
        <f>SUMIFS(Data!$AU:$AU,Data!$G:$G,$A12,Data!$F:$F,$B12,Data!$AV:$AV,2026)</f>
        <v>0</v>
      </c>
      <c r="E12" s="54"/>
      <c r="F12" s="54"/>
    </row>
    <row r="13" spans="1:8">
      <c r="A13" s="54"/>
      <c r="B13" s="54"/>
      <c r="C13" s="54">
        <f>SUM(C5:C12)</f>
        <v>152</v>
      </c>
      <c r="D13" s="54">
        <f>SUM(D5:D12)</f>
        <v>39</v>
      </c>
      <c r="E13" s="54"/>
      <c r="F13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Hieu, Nguyen Thi 5 (EPRC-NVLG)</dc:creator>
  <cp:lastModifiedBy>Hieu, Nguyen Thi 5 (EPRC-NVLG)</cp:lastModifiedBy>
  <dcterms:created xsi:type="dcterms:W3CDTF">2026-07-29T06:54:59Z</dcterms:created>
  <dcterms:modified xsi:type="dcterms:W3CDTF">2026-07-29T10:44:20Z</dcterms:modified>
</cp:coreProperties>
</file>